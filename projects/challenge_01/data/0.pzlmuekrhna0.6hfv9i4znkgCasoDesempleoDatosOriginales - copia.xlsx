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el4\OneDrive\Desktop\proyectos\Ciencia de datos\"/>
    </mc:Choice>
  </mc:AlternateContent>
  <bookViews>
    <workbookView xWindow="0" yWindow="0" windowWidth="28800" windowHeight="12180"/>
  </bookViews>
  <sheets>
    <sheet name="Originales" sheetId="1" r:id="rId1"/>
    <sheet name="Modificados" sheetId="2" r:id="rId2"/>
    <sheet name="Hoja3" sheetId="5" r:id="rId3"/>
    <sheet name="Hoja2" sheetId="9" r:id="rId4"/>
    <sheet name="Hoja4" sheetId="10" r:id="rId5"/>
    <sheet name="Hoja6" sheetId="12" r:id="rId6"/>
    <sheet name="Hoja7" sheetId="13" r:id="rId7"/>
    <sheet name="Modificados (2)" sheetId="7" r:id="rId8"/>
  </sheets>
  <definedNames>
    <definedName name="_xlchart.v1.0" hidden="1">Modificados!$C$3:$C$52</definedName>
    <definedName name="_xlchart.v1.1" hidden="1">Modificados!$G$3:$G$52</definedName>
    <definedName name="_xlchart.v1.2" hidden="1">Modificados!$B$3:$B$52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2" l="1"/>
  <c r="N19" i="2"/>
  <c r="R30" i="2" l="1"/>
  <c r="R32" i="2"/>
  <c r="R31" i="2"/>
  <c r="L46" i="2"/>
  <c r="L45" i="2"/>
  <c r="L44" i="2"/>
  <c r="L43" i="2"/>
  <c r="L42" i="2"/>
  <c r="O43" i="2"/>
  <c r="O42" i="2"/>
  <c r="U20" i="2"/>
  <c r="U19" i="2"/>
  <c r="R23" i="2"/>
  <c r="R22" i="2"/>
  <c r="R21" i="2"/>
  <c r="R20" i="2"/>
  <c r="R19" i="2"/>
  <c r="K23" i="2"/>
  <c r="K22" i="2"/>
  <c r="K21" i="2"/>
  <c r="K20" i="2"/>
  <c r="K19" i="2"/>
</calcChain>
</file>

<file path=xl/sharedStrings.xml><?xml version="1.0" encoding="utf-8"?>
<sst xmlns="http://schemas.openxmlformats.org/spreadsheetml/2006/main" count="419" uniqueCount="60">
  <si>
    <t>Cabeza</t>
  </si>
  <si>
    <t>Años</t>
  </si>
  <si>
    <t>Persona</t>
  </si>
  <si>
    <t>Semanas</t>
  </si>
  <si>
    <t>Edad</t>
  </si>
  <si>
    <t>Educación</t>
  </si>
  <si>
    <t>Casado</t>
  </si>
  <si>
    <t>Ventas</t>
  </si>
  <si>
    <t>Administrador</t>
  </si>
  <si>
    <t>Trab Ant</t>
  </si>
  <si>
    <t>Fam</t>
  </si>
  <si>
    <t>Soltero</t>
  </si>
  <si>
    <t>no cabeza familia</t>
  </si>
  <si>
    <t>Cabeza familia</t>
  </si>
  <si>
    <t>No Administrador</t>
  </si>
  <si>
    <t>No Ventas</t>
  </si>
  <si>
    <t>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</si>
  <si>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</si>
  <si>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</si>
  <si>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</si>
  <si>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</si>
  <si>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</si>
  <si>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</si>
  <si>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</si>
  <si>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</si>
  <si>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</si>
  <si>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</si>
  <si>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</si>
  <si>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</si>
  <si>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</si>
  <si>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</si>
  <si>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</si>
  <si>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</si>
  <si>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</si>
  <si>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</si>
  <si>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</si>
  <si>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</si>
  <si>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</si>
  <si>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Q3</t>
  </si>
  <si>
    <t>Q1</t>
  </si>
  <si>
    <t>RIC</t>
  </si>
  <si>
    <t>MAX</t>
  </si>
  <si>
    <t>limite inf</t>
  </si>
  <si>
    <t>limite sup</t>
  </si>
  <si>
    <t>q3</t>
  </si>
  <si>
    <t>LIM INF</t>
  </si>
  <si>
    <t>LIM SUP</t>
  </si>
  <si>
    <t>MIN</t>
  </si>
  <si>
    <t>Valor min</t>
  </si>
  <si>
    <t>Valor max</t>
  </si>
  <si>
    <t>valores &gt;18.5</t>
  </si>
  <si>
    <t>Sesgos</t>
  </si>
  <si>
    <t xml:space="preserve">Años </t>
  </si>
  <si>
    <t>datos simetricos</t>
  </si>
  <si>
    <t>asimetría positiva</t>
  </si>
  <si>
    <t>Clase</t>
  </si>
  <si>
    <t>y mayor...</t>
  </si>
  <si>
    <t>Frecuencia</t>
  </si>
  <si>
    <t xml:space="preserve">Clases semanas </t>
  </si>
  <si>
    <t>clases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</si>
</sst>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/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"/>
    </xf>
    <xf numFmtId="0" fontId="4" fillId="0" borderId="0" xfId="0" applyFont="1" applyAlignment="1">
      <alignment horizontal="left" vertical="center" indent="1"/>
    </xf>
    <xf numFmtId="0" fontId="0" fillId="0" borderId="0" xfId="0" applyNumberFormat="1" applyFill="1" applyBorder="1" applyAlignment="1"/>
    <xf numFmtId="0" fontId="3" fillId="0" borderId="4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Hoja2!$B$2:$B$9</c:f>
              <c:numCache>
                <c:formatCode>General</c:formatCode>
                <c:ptCount val="8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8-4386-8A54-68B92E450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547232"/>
        <c:axId val="887547648"/>
      </c:barChart>
      <c:catAx>
        <c:axId val="887547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7547648"/>
        <c:crosses val="autoZero"/>
        <c:auto val="1"/>
        <c:lblAlgn val="ctr"/>
        <c:lblOffset val="100"/>
        <c:noMultiLvlLbl val="0"/>
      </c:catAx>
      <c:valAx>
        <c:axId val="8875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754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s-MX"/>
              <a:t>Semanas </a:t>
            </a:r>
          </a:p>
        </cx:rich>
      </cx:tx>
    </cx:title>
    <cx:plotArea>
      <cx:plotAreaRegion>
        <cx:series layoutId="boxWhisker" uniqueId="{EAD4A1B6-3DCB-4DB5-B5CB-BF833CB7EEB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s-MX"/>
              <a:t>edad</a:t>
            </a:r>
          </a:p>
        </cx:rich>
      </cx:tx>
    </cx:title>
    <cx:plotArea>
      <cx:plotAreaRegion>
        <cx:series layoutId="boxWhisker" uniqueId="{5E71CD2B-4A55-4ADC-8CD3-B3767A1171D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s-MX"/>
              <a:t>Años de trabajo</a:t>
            </a:r>
          </a:p>
        </cx:rich>
      </cx:tx>
    </cx:title>
    <cx:plotArea>
      <cx:plotAreaRegion>
        <cx:series layoutId="boxWhisker" uniqueId="{FF50A795-3138-4586-A547-DB5775FA6D7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1</xdr:row>
      <xdr:rowOff>28575</xdr:rowOff>
    </xdr:from>
    <xdr:to>
      <xdr:col>15</xdr:col>
      <xdr:colOff>352425</xdr:colOff>
      <xdr:row>15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582704</xdr:colOff>
      <xdr:row>0</xdr:row>
      <xdr:rowOff>118783</xdr:rowOff>
    </xdr:from>
    <xdr:to>
      <xdr:col>22</xdr:col>
      <xdr:colOff>179293</xdr:colOff>
      <xdr:row>16</xdr:row>
      <xdr:rowOff>112059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9</xdr:col>
      <xdr:colOff>16808</xdr:colOff>
      <xdr:row>24</xdr:row>
      <xdr:rowOff>163606</xdr:rowOff>
    </xdr:from>
    <xdr:to>
      <xdr:col>15</xdr:col>
      <xdr:colOff>16808</xdr:colOff>
      <xdr:row>39</xdr:row>
      <xdr:rowOff>49306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595312</xdr:colOff>
      <xdr:row>1</xdr:row>
      <xdr:rowOff>0</xdr:rowOff>
    </xdr:from>
    <xdr:to>
      <xdr:col>9</xdr:col>
      <xdr:colOff>595312</xdr:colOff>
      <xdr:row>15</xdr:row>
      <xdr:rowOff>66675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topLeftCell="A34" workbookViewId="0">
      <selection activeCell="D14" sqref="D14"/>
    </sheetView>
  </sheetViews>
  <sheetFormatPr baseColWidth="10" defaultRowHeight="15" x14ac:dyDescent="0.25"/>
  <cols>
    <col min="8" max="8" width="30.85546875" customWidth="1"/>
  </cols>
  <sheetData>
    <row r="1" spans="1:9" ht="15.75" x14ac:dyDescent="0.25">
      <c r="A1" s="5"/>
      <c r="B1" s="5"/>
      <c r="C1" s="5"/>
      <c r="D1" s="5"/>
      <c r="E1" s="5"/>
      <c r="F1" s="5" t="s">
        <v>0</v>
      </c>
      <c r="G1" s="5" t="s">
        <v>1</v>
      </c>
      <c r="H1" s="5"/>
      <c r="I1" s="5"/>
    </row>
    <row r="2" spans="1:9" ht="15.75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10</v>
      </c>
      <c r="G2" s="5" t="s">
        <v>9</v>
      </c>
      <c r="H2" s="5" t="s">
        <v>8</v>
      </c>
      <c r="I2" s="5" t="s">
        <v>7</v>
      </c>
    </row>
    <row r="3" spans="1:9" ht="30" x14ac:dyDescent="0.25">
      <c r="A3" s="1">
        <v>1</v>
      </c>
      <c r="B3" s="2">
        <v>37</v>
      </c>
      <c r="C3" s="1">
        <v>30</v>
      </c>
      <c r="D3" s="1">
        <v>14</v>
      </c>
      <c r="E3" s="2" t="s">
        <v>6</v>
      </c>
      <c r="F3" s="2" t="s">
        <v>13</v>
      </c>
      <c r="G3" s="1">
        <v>1</v>
      </c>
      <c r="H3" s="2" t="s">
        <v>14</v>
      </c>
      <c r="I3" s="2" t="s">
        <v>16</v>
      </c>
    </row>
    <row r="4" spans="1:9" ht="30" x14ac:dyDescent="0.25">
      <c r="A4" s="3">
        <v>2</v>
      </c>
      <c r="B4" s="4">
        <v>62</v>
      </c>
      <c r="C4" s="3">
        <v>27</v>
      </c>
      <c r="D4" s="3">
        <v>14</v>
      </c>
      <c r="E4" s="4" t="s">
        <v>6</v>
      </c>
      <c r="F4" s="4" t="s">
        <v>12</v>
      </c>
      <c r="G4" s="3">
        <v>6</v>
      </c>
      <c r="H4" s="4" t="s">
        <v>14</v>
      </c>
      <c r="I4" s="4" t="s">
        <v>15</v>
      </c>
    </row>
    <row r="5" spans="1:9" ht="30" x14ac:dyDescent="0.25">
      <c r="A5" s="3">
        <v>3</v>
      </c>
      <c r="B5" s="4">
        <v>49</v>
      </c>
      <c r="C5" s="3">
        <v>32</v>
      </c>
      <c r="D5" s="3">
        <v>10</v>
      </c>
      <c r="E5" s="4" t="s">
        <v>11</v>
      </c>
      <c r="F5" s="4" t="s">
        <v>13</v>
      </c>
      <c r="G5" s="3">
        <v>11</v>
      </c>
      <c r="H5" s="4" t="s">
        <v>14</v>
      </c>
      <c r="I5" s="4" t="s">
        <v>15</v>
      </c>
    </row>
    <row r="6" spans="1:9" ht="30" x14ac:dyDescent="0.25">
      <c r="A6" s="3">
        <v>4</v>
      </c>
      <c r="B6" s="4">
        <v>73</v>
      </c>
      <c r="C6" s="3">
        <v>44</v>
      </c>
      <c r="D6" s="3">
        <v>11</v>
      </c>
      <c r="E6" s="4" t="s">
        <v>6</v>
      </c>
      <c r="F6" s="4" t="s">
        <v>12</v>
      </c>
      <c r="G6" s="3">
        <v>2</v>
      </c>
      <c r="H6" s="4" t="s">
        <v>14</v>
      </c>
      <c r="I6" s="4" t="s">
        <v>15</v>
      </c>
    </row>
    <row r="7" spans="1:9" ht="30" x14ac:dyDescent="0.25">
      <c r="A7" s="3">
        <v>5</v>
      </c>
      <c r="B7" s="4">
        <v>8</v>
      </c>
      <c r="C7" s="3">
        <v>21</v>
      </c>
      <c r="D7" s="3">
        <v>14</v>
      </c>
      <c r="E7" s="4" t="s">
        <v>6</v>
      </c>
      <c r="F7" s="4" t="s">
        <v>13</v>
      </c>
      <c r="G7" s="3">
        <v>2</v>
      </c>
      <c r="H7" s="4" t="s">
        <v>14</v>
      </c>
      <c r="I7" s="4" t="s">
        <v>15</v>
      </c>
    </row>
    <row r="8" spans="1:9" ht="30" x14ac:dyDescent="0.25">
      <c r="A8" s="3">
        <v>6</v>
      </c>
      <c r="B8" s="4">
        <v>15</v>
      </c>
      <c r="C8" s="3">
        <v>26</v>
      </c>
      <c r="D8" s="3">
        <v>13</v>
      </c>
      <c r="E8" s="4" t="s">
        <v>6</v>
      </c>
      <c r="F8" s="4" t="s">
        <v>12</v>
      </c>
      <c r="G8" s="3">
        <v>7</v>
      </c>
      <c r="H8" s="4" t="s">
        <v>8</v>
      </c>
      <c r="I8" s="4" t="s">
        <v>15</v>
      </c>
    </row>
    <row r="9" spans="1:9" ht="30" x14ac:dyDescent="0.25">
      <c r="A9" s="3">
        <v>7</v>
      </c>
      <c r="B9" s="4">
        <v>52</v>
      </c>
      <c r="C9" s="3">
        <v>26</v>
      </c>
      <c r="D9" s="3">
        <v>15</v>
      </c>
      <c r="E9" s="4" t="s">
        <v>6</v>
      </c>
      <c r="F9" s="4" t="s">
        <v>12</v>
      </c>
      <c r="G9" s="3">
        <v>6</v>
      </c>
      <c r="H9" s="4" t="s">
        <v>14</v>
      </c>
      <c r="I9" s="4" t="s">
        <v>15</v>
      </c>
    </row>
    <row r="10" spans="1:9" ht="30" x14ac:dyDescent="0.25">
      <c r="A10" s="3">
        <v>8</v>
      </c>
      <c r="B10" s="4">
        <v>72</v>
      </c>
      <c r="C10" s="3">
        <v>33</v>
      </c>
      <c r="D10" s="3">
        <v>13</v>
      </c>
      <c r="E10" s="4" t="s">
        <v>11</v>
      </c>
      <c r="F10" s="4" t="s">
        <v>13</v>
      </c>
      <c r="G10" s="3">
        <v>6</v>
      </c>
      <c r="H10" s="4" t="s">
        <v>14</v>
      </c>
      <c r="I10" s="4" t="s">
        <v>15</v>
      </c>
    </row>
    <row r="11" spans="1:9" ht="30" x14ac:dyDescent="0.25">
      <c r="A11" s="3">
        <v>9</v>
      </c>
      <c r="B11" s="4">
        <v>11</v>
      </c>
      <c r="C11" s="3">
        <v>27</v>
      </c>
      <c r="D11" s="3">
        <v>12</v>
      </c>
      <c r="E11" s="4" t="s">
        <v>6</v>
      </c>
      <c r="F11" s="4" t="s">
        <v>13</v>
      </c>
      <c r="G11" s="3">
        <v>8</v>
      </c>
      <c r="H11" s="4" t="s">
        <v>14</v>
      </c>
      <c r="I11" s="4" t="s">
        <v>15</v>
      </c>
    </row>
    <row r="12" spans="1:9" ht="30" x14ac:dyDescent="0.25">
      <c r="A12" s="3">
        <v>10</v>
      </c>
      <c r="B12" s="4">
        <v>13</v>
      </c>
      <c r="C12" s="3">
        <v>33</v>
      </c>
      <c r="D12" s="3">
        <v>12</v>
      </c>
      <c r="E12" s="4" t="s">
        <v>11</v>
      </c>
      <c r="F12" s="4" t="s">
        <v>13</v>
      </c>
      <c r="G12" s="3">
        <v>2</v>
      </c>
      <c r="H12" s="4" t="s">
        <v>14</v>
      </c>
      <c r="I12" s="4" t="s">
        <v>15</v>
      </c>
    </row>
    <row r="13" spans="1:9" ht="30" x14ac:dyDescent="0.25">
      <c r="A13" s="3">
        <v>11</v>
      </c>
      <c r="B13" s="4">
        <v>39</v>
      </c>
      <c r="C13" s="3">
        <v>20</v>
      </c>
      <c r="D13" s="3">
        <v>11</v>
      </c>
      <c r="E13" s="4" t="s">
        <v>6</v>
      </c>
      <c r="F13" s="4" t="s">
        <v>12</v>
      </c>
      <c r="G13" s="3">
        <v>1</v>
      </c>
      <c r="H13" s="4" t="s">
        <v>14</v>
      </c>
      <c r="I13" s="4" t="s">
        <v>15</v>
      </c>
    </row>
    <row r="14" spans="1:9" ht="30" x14ac:dyDescent="0.25">
      <c r="A14" s="3">
        <v>12</v>
      </c>
      <c r="B14" s="4">
        <v>59</v>
      </c>
      <c r="C14" s="3">
        <v>35</v>
      </c>
      <c r="D14" s="3">
        <v>7</v>
      </c>
      <c r="E14" s="4" t="s">
        <v>6</v>
      </c>
      <c r="F14" s="4" t="s">
        <v>13</v>
      </c>
      <c r="G14" s="3">
        <v>6</v>
      </c>
      <c r="H14" s="4" t="s">
        <v>14</v>
      </c>
      <c r="I14" s="4" t="s">
        <v>15</v>
      </c>
    </row>
    <row r="15" spans="1:9" ht="30" x14ac:dyDescent="0.25">
      <c r="A15" s="3">
        <v>13</v>
      </c>
      <c r="B15" s="4">
        <v>39</v>
      </c>
      <c r="C15" s="3">
        <v>36</v>
      </c>
      <c r="D15" s="3">
        <v>17</v>
      </c>
      <c r="E15" s="4" t="s">
        <v>11</v>
      </c>
      <c r="F15" s="4" t="s">
        <v>13</v>
      </c>
      <c r="G15" s="3">
        <v>9</v>
      </c>
      <c r="H15" s="4" t="s">
        <v>8</v>
      </c>
      <c r="I15" s="4" t="s">
        <v>15</v>
      </c>
    </row>
    <row r="16" spans="1:9" ht="30" x14ac:dyDescent="0.25">
      <c r="A16" s="3">
        <v>14</v>
      </c>
      <c r="B16" s="4">
        <v>44</v>
      </c>
      <c r="C16" s="3">
        <v>26</v>
      </c>
      <c r="D16" s="3">
        <v>12</v>
      </c>
      <c r="E16" s="4" t="s">
        <v>6</v>
      </c>
      <c r="F16" s="4" t="s">
        <v>13</v>
      </c>
      <c r="G16" s="3">
        <v>8</v>
      </c>
      <c r="H16" s="4" t="s">
        <v>14</v>
      </c>
      <c r="I16" s="4" t="s">
        <v>15</v>
      </c>
    </row>
    <row r="17" spans="1:9" ht="30" x14ac:dyDescent="0.25">
      <c r="A17" s="3">
        <v>15</v>
      </c>
      <c r="B17" s="4">
        <v>56</v>
      </c>
      <c r="C17" s="3">
        <v>36</v>
      </c>
      <c r="D17" s="3">
        <v>15</v>
      </c>
      <c r="E17" s="4" t="s">
        <v>11</v>
      </c>
      <c r="F17" s="4" t="s">
        <v>13</v>
      </c>
      <c r="G17" s="3">
        <v>8</v>
      </c>
      <c r="H17" s="4" t="s">
        <v>14</v>
      </c>
      <c r="I17" s="4" t="s">
        <v>15</v>
      </c>
    </row>
    <row r="18" spans="1:9" ht="30" x14ac:dyDescent="0.25">
      <c r="A18" s="3">
        <v>16</v>
      </c>
      <c r="B18" s="4">
        <v>31</v>
      </c>
      <c r="C18" s="3">
        <v>38</v>
      </c>
      <c r="D18" s="3">
        <v>16</v>
      </c>
      <c r="E18" s="4" t="s">
        <v>6</v>
      </c>
      <c r="F18" s="4" t="s">
        <v>13</v>
      </c>
      <c r="G18" s="3">
        <v>11</v>
      </c>
      <c r="H18" s="4" t="s">
        <v>14</v>
      </c>
      <c r="I18" s="4" t="s">
        <v>7</v>
      </c>
    </row>
    <row r="19" spans="1:9" ht="30" x14ac:dyDescent="0.25">
      <c r="A19" s="3">
        <v>17</v>
      </c>
      <c r="B19" s="4">
        <v>62</v>
      </c>
      <c r="C19" s="3">
        <v>34</v>
      </c>
      <c r="D19" s="3">
        <v>13</v>
      </c>
      <c r="E19" s="4" t="s">
        <v>11</v>
      </c>
      <c r="F19" s="4" t="s">
        <v>13</v>
      </c>
      <c r="G19" s="3">
        <v>13</v>
      </c>
      <c r="H19" s="4" t="s">
        <v>14</v>
      </c>
      <c r="I19" s="4" t="s">
        <v>15</v>
      </c>
    </row>
    <row r="20" spans="1:9" ht="30" x14ac:dyDescent="0.25">
      <c r="A20" s="3">
        <v>18</v>
      </c>
      <c r="B20" s="4">
        <v>25</v>
      </c>
      <c r="C20" s="3">
        <v>27</v>
      </c>
      <c r="D20" s="3">
        <v>19</v>
      </c>
      <c r="E20" s="4" t="s">
        <v>6</v>
      </c>
      <c r="F20" s="4" t="s">
        <v>12</v>
      </c>
      <c r="G20" s="3">
        <v>8</v>
      </c>
      <c r="H20" s="4" t="s">
        <v>14</v>
      </c>
      <c r="I20" s="4" t="s">
        <v>15</v>
      </c>
    </row>
    <row r="21" spans="1:9" ht="30" x14ac:dyDescent="0.25">
      <c r="A21" s="3">
        <v>19</v>
      </c>
      <c r="B21" s="4">
        <v>72</v>
      </c>
      <c r="C21" s="3">
        <v>44</v>
      </c>
      <c r="D21" s="3">
        <v>13</v>
      </c>
      <c r="E21" s="4" t="s">
        <v>6</v>
      </c>
      <c r="F21" s="4" t="s">
        <v>12</v>
      </c>
      <c r="G21" s="3">
        <v>22</v>
      </c>
      <c r="H21" s="4" t="s">
        <v>14</v>
      </c>
      <c r="I21" s="4" t="s">
        <v>15</v>
      </c>
    </row>
    <row r="22" spans="1:9" ht="30" x14ac:dyDescent="0.25">
      <c r="A22" s="3">
        <v>20</v>
      </c>
      <c r="B22" s="4">
        <v>65</v>
      </c>
      <c r="C22" s="3">
        <v>45</v>
      </c>
      <c r="D22" s="3">
        <v>15</v>
      </c>
      <c r="E22" s="4" t="s">
        <v>6</v>
      </c>
      <c r="F22" s="4" t="s">
        <v>13</v>
      </c>
      <c r="G22" s="3">
        <v>6</v>
      </c>
      <c r="H22" s="4" t="s">
        <v>14</v>
      </c>
      <c r="I22" s="4" t="s">
        <v>15</v>
      </c>
    </row>
    <row r="23" spans="1:9" ht="30" x14ac:dyDescent="0.25">
      <c r="A23" s="3">
        <v>21</v>
      </c>
      <c r="B23" s="4">
        <v>44</v>
      </c>
      <c r="C23" s="3">
        <v>28</v>
      </c>
      <c r="D23" s="3">
        <v>17</v>
      </c>
      <c r="E23" s="4" t="s">
        <v>11</v>
      </c>
      <c r="F23" s="4" t="s">
        <v>13</v>
      </c>
      <c r="G23" s="3">
        <v>3</v>
      </c>
      <c r="H23" s="4" t="s">
        <v>14</v>
      </c>
      <c r="I23" s="4" t="s">
        <v>7</v>
      </c>
    </row>
    <row r="24" spans="1:9" ht="30" x14ac:dyDescent="0.25">
      <c r="A24" s="3">
        <v>22</v>
      </c>
      <c r="B24" s="4">
        <v>49</v>
      </c>
      <c r="C24" s="3">
        <v>25</v>
      </c>
      <c r="D24" s="3">
        <v>10</v>
      </c>
      <c r="E24" s="4" t="s">
        <v>6</v>
      </c>
      <c r="F24" s="4" t="s">
        <v>13</v>
      </c>
      <c r="G24" s="3">
        <v>1</v>
      </c>
      <c r="H24" s="4" t="s">
        <v>14</v>
      </c>
      <c r="I24" s="4" t="s">
        <v>15</v>
      </c>
    </row>
    <row r="25" spans="1:9" ht="30" x14ac:dyDescent="0.25">
      <c r="A25" s="3">
        <v>23</v>
      </c>
      <c r="B25" s="4">
        <v>80</v>
      </c>
      <c r="C25" s="3">
        <v>31</v>
      </c>
      <c r="D25" s="3">
        <v>15</v>
      </c>
      <c r="E25" s="4" t="s">
        <v>6</v>
      </c>
      <c r="F25" s="4" t="s">
        <v>12</v>
      </c>
      <c r="G25" s="3">
        <v>12</v>
      </c>
      <c r="H25" s="4" t="s">
        <v>14</v>
      </c>
      <c r="I25" s="4" t="s">
        <v>15</v>
      </c>
    </row>
    <row r="26" spans="1:9" ht="30" x14ac:dyDescent="0.25">
      <c r="A26" s="3">
        <v>24</v>
      </c>
      <c r="B26" s="4">
        <v>7</v>
      </c>
      <c r="C26" s="3">
        <v>23</v>
      </c>
      <c r="D26" s="3">
        <v>15</v>
      </c>
      <c r="E26" s="4" t="s">
        <v>6</v>
      </c>
      <c r="F26" s="4" t="s">
        <v>12</v>
      </c>
      <c r="G26" s="3">
        <v>2</v>
      </c>
      <c r="H26" s="4" t="s">
        <v>14</v>
      </c>
      <c r="I26" s="4" t="s">
        <v>15</v>
      </c>
    </row>
    <row r="27" spans="1:9" ht="30" x14ac:dyDescent="0.25">
      <c r="A27" s="3">
        <v>25</v>
      </c>
      <c r="B27" s="4">
        <v>14</v>
      </c>
      <c r="C27" s="3">
        <v>24</v>
      </c>
      <c r="D27" s="3">
        <v>13</v>
      </c>
      <c r="E27" s="4" t="s">
        <v>6</v>
      </c>
      <c r="F27" s="4" t="s">
        <v>13</v>
      </c>
      <c r="G27" s="3">
        <v>7</v>
      </c>
      <c r="H27" s="4" t="s">
        <v>14</v>
      </c>
      <c r="I27" s="4" t="s">
        <v>15</v>
      </c>
    </row>
    <row r="28" spans="1:9" ht="30" x14ac:dyDescent="0.25">
      <c r="A28" s="3">
        <v>26</v>
      </c>
      <c r="B28" s="4">
        <v>94</v>
      </c>
      <c r="C28" s="3">
        <v>62</v>
      </c>
      <c r="D28" s="3">
        <v>13</v>
      </c>
      <c r="E28" s="4" t="s">
        <v>11</v>
      </c>
      <c r="F28" s="4" t="s">
        <v>13</v>
      </c>
      <c r="G28" s="3">
        <v>8</v>
      </c>
      <c r="H28" s="4" t="s">
        <v>14</v>
      </c>
      <c r="I28" s="4" t="s">
        <v>15</v>
      </c>
    </row>
    <row r="29" spans="1:9" ht="30" x14ac:dyDescent="0.25">
      <c r="A29" s="3">
        <v>27</v>
      </c>
      <c r="B29" s="4">
        <v>48</v>
      </c>
      <c r="C29" s="3">
        <v>31</v>
      </c>
      <c r="D29" s="3">
        <v>16</v>
      </c>
      <c r="E29" s="4" t="s">
        <v>6</v>
      </c>
      <c r="F29" s="4" t="s">
        <v>12</v>
      </c>
      <c r="G29" s="3">
        <v>11</v>
      </c>
      <c r="H29" s="4" t="s">
        <v>14</v>
      </c>
      <c r="I29" s="4" t="s">
        <v>15</v>
      </c>
    </row>
    <row r="30" spans="1:9" ht="30" x14ac:dyDescent="0.25">
      <c r="A30" s="3">
        <v>28</v>
      </c>
      <c r="B30" s="4">
        <v>82</v>
      </c>
      <c r="C30" s="3">
        <v>48</v>
      </c>
      <c r="D30" s="3">
        <v>18</v>
      </c>
      <c r="E30" s="4" t="s">
        <v>11</v>
      </c>
      <c r="F30" s="4" t="s">
        <v>13</v>
      </c>
      <c r="G30" s="3">
        <v>30</v>
      </c>
      <c r="H30" s="4" t="s">
        <v>14</v>
      </c>
      <c r="I30" s="4" t="s">
        <v>15</v>
      </c>
    </row>
    <row r="31" spans="1:9" ht="30" x14ac:dyDescent="0.25">
      <c r="A31" s="3">
        <v>29</v>
      </c>
      <c r="B31" s="4">
        <v>50</v>
      </c>
      <c r="C31" s="3">
        <v>35</v>
      </c>
      <c r="D31" s="3">
        <v>18</v>
      </c>
      <c r="E31" s="4" t="s">
        <v>6</v>
      </c>
      <c r="F31" s="4" t="s">
        <v>13</v>
      </c>
      <c r="G31" s="3">
        <v>5</v>
      </c>
      <c r="H31" s="4" t="s">
        <v>14</v>
      </c>
      <c r="I31" s="4" t="s">
        <v>15</v>
      </c>
    </row>
    <row r="32" spans="1:9" ht="30" x14ac:dyDescent="0.25">
      <c r="A32" s="3">
        <v>30</v>
      </c>
      <c r="B32" s="4">
        <v>37</v>
      </c>
      <c r="C32" s="3">
        <v>33</v>
      </c>
      <c r="D32" s="3">
        <v>14</v>
      </c>
      <c r="E32" s="4" t="s">
        <v>11</v>
      </c>
      <c r="F32" s="4" t="s">
        <v>13</v>
      </c>
      <c r="G32" s="3">
        <v>6</v>
      </c>
      <c r="H32" s="4" t="s">
        <v>14</v>
      </c>
      <c r="I32" s="4" t="s">
        <v>7</v>
      </c>
    </row>
    <row r="33" spans="1:9" ht="30" x14ac:dyDescent="0.25">
      <c r="A33" s="3">
        <v>31</v>
      </c>
      <c r="B33" s="4">
        <v>62</v>
      </c>
      <c r="C33" s="3">
        <v>46</v>
      </c>
      <c r="D33" s="3">
        <v>15</v>
      </c>
      <c r="E33" s="4" t="s">
        <v>11</v>
      </c>
      <c r="F33" s="4" t="s">
        <v>13</v>
      </c>
      <c r="G33" s="3">
        <v>6</v>
      </c>
      <c r="H33" s="4" t="s">
        <v>14</v>
      </c>
      <c r="I33" s="4" t="s">
        <v>15</v>
      </c>
    </row>
    <row r="34" spans="1:9" ht="30" x14ac:dyDescent="0.25">
      <c r="A34" s="3">
        <v>32</v>
      </c>
      <c r="B34" s="4">
        <v>37</v>
      </c>
      <c r="C34" s="3">
        <v>35</v>
      </c>
      <c r="D34" s="3">
        <v>8</v>
      </c>
      <c r="E34" s="4" t="s">
        <v>11</v>
      </c>
      <c r="F34" s="4" t="s">
        <v>13</v>
      </c>
      <c r="G34" s="3">
        <v>6</v>
      </c>
      <c r="H34" s="4" t="s">
        <v>14</v>
      </c>
      <c r="I34" s="4" t="s">
        <v>15</v>
      </c>
    </row>
    <row r="35" spans="1:9" ht="30" x14ac:dyDescent="0.25">
      <c r="A35" s="3">
        <v>33</v>
      </c>
      <c r="B35" s="4">
        <v>40</v>
      </c>
      <c r="C35" s="3">
        <v>32</v>
      </c>
      <c r="D35" s="3">
        <v>9</v>
      </c>
      <c r="E35" s="4" t="s">
        <v>6</v>
      </c>
      <c r="F35" s="4" t="s">
        <v>13</v>
      </c>
      <c r="G35" s="3">
        <v>13</v>
      </c>
      <c r="H35" s="4" t="s">
        <v>14</v>
      </c>
      <c r="I35" s="4" t="s">
        <v>15</v>
      </c>
    </row>
    <row r="36" spans="1:9" ht="30" x14ac:dyDescent="0.25">
      <c r="A36" s="3">
        <v>34</v>
      </c>
      <c r="B36" s="4">
        <v>16</v>
      </c>
      <c r="C36" s="3">
        <v>40</v>
      </c>
      <c r="D36" s="3">
        <v>17</v>
      </c>
      <c r="E36" s="4" t="s">
        <v>6</v>
      </c>
      <c r="F36" s="4" t="s">
        <v>12</v>
      </c>
      <c r="G36" s="3">
        <v>8</v>
      </c>
      <c r="H36" s="4" t="s">
        <v>8</v>
      </c>
      <c r="I36" s="4" t="s">
        <v>15</v>
      </c>
    </row>
    <row r="37" spans="1:9" ht="30" x14ac:dyDescent="0.25">
      <c r="A37" s="3">
        <v>35</v>
      </c>
      <c r="B37" s="4">
        <v>34</v>
      </c>
      <c r="C37" s="3">
        <v>23</v>
      </c>
      <c r="D37" s="3">
        <v>12</v>
      </c>
      <c r="E37" s="4" t="s">
        <v>6</v>
      </c>
      <c r="F37" s="4" t="s">
        <v>13</v>
      </c>
      <c r="G37" s="3">
        <v>1</v>
      </c>
      <c r="H37" s="4" t="s">
        <v>14</v>
      </c>
      <c r="I37" s="4" t="s">
        <v>15</v>
      </c>
    </row>
    <row r="38" spans="1:9" ht="30" x14ac:dyDescent="0.25">
      <c r="A38" s="3">
        <v>36</v>
      </c>
      <c r="B38" s="4">
        <v>4</v>
      </c>
      <c r="C38" s="3">
        <v>36</v>
      </c>
      <c r="D38" s="3">
        <v>16</v>
      </c>
      <c r="E38" s="4" t="s">
        <v>11</v>
      </c>
      <c r="F38" s="4" t="s">
        <v>13</v>
      </c>
      <c r="G38" s="3">
        <v>8</v>
      </c>
      <c r="H38" s="4" t="s">
        <v>14</v>
      </c>
      <c r="I38" s="4" t="s">
        <v>7</v>
      </c>
    </row>
    <row r="39" spans="1:9" ht="30" x14ac:dyDescent="0.25">
      <c r="A39" s="3">
        <v>37</v>
      </c>
      <c r="B39" s="4">
        <v>55</v>
      </c>
      <c r="C39" s="3">
        <v>33</v>
      </c>
      <c r="D39" s="3">
        <v>12</v>
      </c>
      <c r="E39" s="4" t="s">
        <v>6</v>
      </c>
      <c r="F39" s="4" t="s">
        <v>12</v>
      </c>
      <c r="G39" s="3">
        <v>10</v>
      </c>
      <c r="H39" s="4" t="s">
        <v>14</v>
      </c>
      <c r="I39" s="4" t="s">
        <v>7</v>
      </c>
    </row>
    <row r="40" spans="1:9" ht="30" x14ac:dyDescent="0.25">
      <c r="A40" s="3">
        <v>38</v>
      </c>
      <c r="B40" s="4">
        <v>39</v>
      </c>
      <c r="C40" s="3">
        <v>32</v>
      </c>
      <c r="D40" s="3">
        <v>16</v>
      </c>
      <c r="E40" s="4" t="s">
        <v>11</v>
      </c>
      <c r="F40" s="4" t="s">
        <v>13</v>
      </c>
      <c r="G40" s="3">
        <v>11</v>
      </c>
      <c r="H40" s="4" t="s">
        <v>14</v>
      </c>
      <c r="I40" s="4" t="s">
        <v>15</v>
      </c>
    </row>
    <row r="41" spans="1:9" ht="30" x14ac:dyDescent="0.25">
      <c r="A41" s="3">
        <v>39</v>
      </c>
      <c r="B41" s="4">
        <v>80</v>
      </c>
      <c r="C41" s="3">
        <v>62</v>
      </c>
      <c r="D41" s="3">
        <v>15</v>
      </c>
      <c r="E41" s="4" t="s">
        <v>6</v>
      </c>
      <c r="F41" s="4" t="s">
        <v>12</v>
      </c>
      <c r="G41" s="3">
        <v>16</v>
      </c>
      <c r="H41" s="4" t="s">
        <v>14</v>
      </c>
      <c r="I41" s="4" t="s">
        <v>7</v>
      </c>
    </row>
    <row r="42" spans="1:9" ht="30" x14ac:dyDescent="0.25">
      <c r="A42" s="3">
        <v>40</v>
      </c>
      <c r="B42" s="4">
        <v>19</v>
      </c>
      <c r="C42" s="3">
        <v>29</v>
      </c>
      <c r="D42" s="3">
        <v>14</v>
      </c>
      <c r="E42" s="4" t="s">
        <v>6</v>
      </c>
      <c r="F42" s="4" t="s">
        <v>13</v>
      </c>
      <c r="G42" s="3">
        <v>12</v>
      </c>
      <c r="H42" s="4" t="s">
        <v>14</v>
      </c>
      <c r="I42" s="4" t="s">
        <v>15</v>
      </c>
    </row>
    <row r="43" spans="1:9" ht="30" x14ac:dyDescent="0.25">
      <c r="A43" s="3">
        <v>41</v>
      </c>
      <c r="B43" s="4">
        <v>98</v>
      </c>
      <c r="C43" s="3">
        <v>45</v>
      </c>
      <c r="D43" s="3">
        <v>12</v>
      </c>
      <c r="E43" s="4" t="s">
        <v>6</v>
      </c>
      <c r="F43" s="4" t="s">
        <v>12</v>
      </c>
      <c r="G43" s="3">
        <v>17</v>
      </c>
      <c r="H43" s="4" t="s">
        <v>14</v>
      </c>
      <c r="I43" s="4" t="s">
        <v>15</v>
      </c>
    </row>
    <row r="44" spans="1:9" ht="30" x14ac:dyDescent="0.25">
      <c r="A44" s="3">
        <v>42</v>
      </c>
      <c r="B44" s="4">
        <v>30</v>
      </c>
      <c r="C44" s="3">
        <v>38</v>
      </c>
      <c r="D44" s="3">
        <v>15</v>
      </c>
      <c r="E44" s="4" t="s">
        <v>11</v>
      </c>
      <c r="F44" s="4" t="s">
        <v>13</v>
      </c>
      <c r="G44" s="3">
        <v>6</v>
      </c>
      <c r="H44" s="4" t="s">
        <v>14</v>
      </c>
      <c r="I44" s="4" t="s">
        <v>7</v>
      </c>
    </row>
    <row r="45" spans="1:9" ht="30" x14ac:dyDescent="0.25">
      <c r="A45" s="3">
        <v>43</v>
      </c>
      <c r="B45" s="4">
        <v>22</v>
      </c>
      <c r="C45" s="3">
        <v>40</v>
      </c>
      <c r="D45" s="3">
        <v>8</v>
      </c>
      <c r="E45" s="4" t="s">
        <v>6</v>
      </c>
      <c r="F45" s="4" t="s">
        <v>13</v>
      </c>
      <c r="G45" s="3">
        <v>16</v>
      </c>
      <c r="H45" s="4" t="s">
        <v>14</v>
      </c>
      <c r="I45" s="4" t="s">
        <v>7</v>
      </c>
    </row>
    <row r="46" spans="1:9" ht="30" x14ac:dyDescent="0.25">
      <c r="A46" s="3">
        <v>44</v>
      </c>
      <c r="B46" s="4">
        <v>57</v>
      </c>
      <c r="C46" s="3">
        <v>42</v>
      </c>
      <c r="D46" s="3">
        <v>13</v>
      </c>
      <c r="E46" s="4" t="s">
        <v>6</v>
      </c>
      <c r="F46" s="4" t="s">
        <v>12</v>
      </c>
      <c r="G46" s="3">
        <v>2</v>
      </c>
      <c r="H46" s="4" t="s">
        <v>8</v>
      </c>
      <c r="I46" s="4" t="s">
        <v>15</v>
      </c>
    </row>
    <row r="47" spans="1:9" ht="30" x14ac:dyDescent="0.25">
      <c r="A47" s="3">
        <v>45</v>
      </c>
      <c r="B47" s="4">
        <v>64</v>
      </c>
      <c r="C47" s="3">
        <v>45</v>
      </c>
      <c r="D47" s="3">
        <v>16</v>
      </c>
      <c r="E47" s="4" t="s">
        <v>6</v>
      </c>
      <c r="F47" s="4" t="s">
        <v>13</v>
      </c>
      <c r="G47" s="3">
        <v>22</v>
      </c>
      <c r="H47" s="4" t="s">
        <v>14</v>
      </c>
      <c r="I47" s="4" t="s">
        <v>15</v>
      </c>
    </row>
    <row r="48" spans="1:9" ht="30" x14ac:dyDescent="0.25">
      <c r="A48" s="3">
        <v>46</v>
      </c>
      <c r="B48" s="4">
        <v>22</v>
      </c>
      <c r="C48" s="3">
        <v>39</v>
      </c>
      <c r="D48" s="3">
        <v>11</v>
      </c>
      <c r="E48" s="4" t="s">
        <v>6</v>
      </c>
      <c r="F48" s="4" t="s">
        <v>13</v>
      </c>
      <c r="G48" s="3">
        <v>4</v>
      </c>
      <c r="H48" s="4" t="s">
        <v>14</v>
      </c>
      <c r="I48" s="4" t="s">
        <v>15</v>
      </c>
    </row>
    <row r="49" spans="1:9" ht="30" x14ac:dyDescent="0.25">
      <c r="A49" s="3">
        <v>47</v>
      </c>
      <c r="B49" s="4">
        <v>27</v>
      </c>
      <c r="C49" s="3">
        <v>27</v>
      </c>
      <c r="D49" s="3">
        <v>15</v>
      </c>
      <c r="E49" s="4" t="s">
        <v>6</v>
      </c>
      <c r="F49" s="4" t="s">
        <v>12</v>
      </c>
      <c r="G49" s="3">
        <v>10</v>
      </c>
      <c r="H49" s="4" t="s">
        <v>14</v>
      </c>
      <c r="I49" s="4" t="s">
        <v>7</v>
      </c>
    </row>
    <row r="50" spans="1:9" ht="30" x14ac:dyDescent="0.25">
      <c r="A50" s="3">
        <v>48</v>
      </c>
      <c r="B50" s="4">
        <v>20</v>
      </c>
      <c r="C50" s="3">
        <v>42</v>
      </c>
      <c r="D50" s="3">
        <v>14</v>
      </c>
      <c r="E50" s="4" t="s">
        <v>6</v>
      </c>
      <c r="F50" s="4" t="s">
        <v>13</v>
      </c>
      <c r="G50" s="3">
        <v>6</v>
      </c>
      <c r="H50" s="4" t="s">
        <v>8</v>
      </c>
      <c r="I50" s="4" t="s">
        <v>15</v>
      </c>
    </row>
    <row r="51" spans="1:9" ht="30" x14ac:dyDescent="0.25">
      <c r="A51" s="3">
        <v>49</v>
      </c>
      <c r="B51" s="4">
        <v>30</v>
      </c>
      <c r="C51" s="3">
        <v>31</v>
      </c>
      <c r="D51" s="3">
        <v>10</v>
      </c>
      <c r="E51" s="4" t="s">
        <v>6</v>
      </c>
      <c r="F51" s="4" t="s">
        <v>13</v>
      </c>
      <c r="G51" s="3">
        <v>8</v>
      </c>
      <c r="H51" s="4" t="s">
        <v>14</v>
      </c>
      <c r="I51" s="4" t="s">
        <v>15</v>
      </c>
    </row>
    <row r="52" spans="1:9" ht="30" x14ac:dyDescent="0.25">
      <c r="A52" s="3">
        <v>50</v>
      </c>
      <c r="B52" s="4">
        <v>23</v>
      </c>
      <c r="C52" s="3">
        <v>33</v>
      </c>
      <c r="D52" s="3">
        <v>13</v>
      </c>
      <c r="E52" s="4" t="s">
        <v>6</v>
      </c>
      <c r="F52" s="4" t="s">
        <v>13</v>
      </c>
      <c r="G52" s="3">
        <v>8</v>
      </c>
      <c r="H52" s="4" t="s">
        <v>14</v>
      </c>
      <c r="I52" s="4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Views>
    <sheetView zoomScale="85" zoomScaleNormal="85" workbookViewId="0">
      <selection activeCell="U20" sqref="U20"/>
    </sheetView>
  </sheetViews>
  <sheetFormatPr baseColWidth="10" defaultRowHeight="15" x14ac:dyDescent="0.25"/>
  <cols>
    <col min="8" max="8" width="12.85546875" bestFit="1" customWidth="1"/>
    <col min="9" max="9" width="7.42578125" bestFit="1" customWidth="1"/>
    <col min="18" max="18" width="13.5703125" bestFit="1" customWidth="1"/>
  </cols>
  <sheetData>
    <row r="1" spans="1:9" ht="15.75" x14ac:dyDescent="0.25">
      <c r="A1" s="5"/>
      <c r="B1" s="5"/>
      <c r="C1" s="5"/>
      <c r="D1" s="5"/>
      <c r="E1" s="5"/>
      <c r="F1" s="5" t="s">
        <v>0</v>
      </c>
      <c r="G1" s="5" t="s">
        <v>1</v>
      </c>
      <c r="H1" s="5"/>
      <c r="I1" s="5"/>
    </row>
    <row r="2" spans="1:9" ht="15.75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10</v>
      </c>
      <c r="G2" s="5" t="s">
        <v>9</v>
      </c>
      <c r="H2" s="5" t="s">
        <v>8</v>
      </c>
      <c r="I2" s="5" t="s">
        <v>7</v>
      </c>
    </row>
    <row r="3" spans="1:9" x14ac:dyDescent="0.25">
      <c r="A3" s="1">
        <v>1</v>
      </c>
      <c r="B3" s="2">
        <v>37</v>
      </c>
      <c r="C3" s="1">
        <v>30</v>
      </c>
      <c r="D3" s="1">
        <v>14</v>
      </c>
      <c r="E3" s="2">
        <v>1</v>
      </c>
      <c r="F3" s="2">
        <v>1</v>
      </c>
      <c r="G3" s="1">
        <v>1</v>
      </c>
      <c r="H3" s="2">
        <v>0</v>
      </c>
      <c r="I3" s="2">
        <v>0</v>
      </c>
    </row>
    <row r="4" spans="1:9" x14ac:dyDescent="0.25">
      <c r="A4" s="3">
        <v>2</v>
      </c>
      <c r="B4" s="4">
        <v>62</v>
      </c>
      <c r="C4" s="3">
        <v>27</v>
      </c>
      <c r="D4" s="3">
        <v>14</v>
      </c>
      <c r="E4" s="4">
        <v>1</v>
      </c>
      <c r="F4" s="4">
        <v>0</v>
      </c>
      <c r="G4" s="3">
        <v>6</v>
      </c>
      <c r="H4" s="4">
        <v>0</v>
      </c>
      <c r="I4" s="4">
        <v>0</v>
      </c>
    </row>
    <row r="5" spans="1:9" x14ac:dyDescent="0.25">
      <c r="A5" s="3">
        <v>3</v>
      </c>
      <c r="B5" s="4">
        <v>49</v>
      </c>
      <c r="C5" s="3">
        <v>32</v>
      </c>
      <c r="D5" s="3">
        <v>10</v>
      </c>
      <c r="E5" s="4">
        <v>0</v>
      </c>
      <c r="F5" s="4">
        <v>1</v>
      </c>
      <c r="G5" s="3">
        <v>11</v>
      </c>
      <c r="H5" s="4">
        <v>0</v>
      </c>
      <c r="I5" s="4">
        <v>0</v>
      </c>
    </row>
    <row r="6" spans="1:9" x14ac:dyDescent="0.25">
      <c r="A6" s="3">
        <v>4</v>
      </c>
      <c r="B6" s="4">
        <v>73</v>
      </c>
      <c r="C6" s="3">
        <v>44</v>
      </c>
      <c r="D6" s="3">
        <v>11</v>
      </c>
      <c r="E6" s="4">
        <v>1</v>
      </c>
      <c r="F6" s="4">
        <v>0</v>
      </c>
      <c r="G6" s="3">
        <v>2</v>
      </c>
      <c r="H6" s="4">
        <v>0</v>
      </c>
      <c r="I6" s="4">
        <v>0</v>
      </c>
    </row>
    <row r="7" spans="1:9" x14ac:dyDescent="0.25">
      <c r="A7" s="3">
        <v>5</v>
      </c>
      <c r="B7" s="4">
        <v>8</v>
      </c>
      <c r="C7" s="3">
        <v>21</v>
      </c>
      <c r="D7" s="3">
        <v>14</v>
      </c>
      <c r="E7" s="4">
        <v>1</v>
      </c>
      <c r="F7" s="4">
        <v>1</v>
      </c>
      <c r="G7" s="3">
        <v>2</v>
      </c>
      <c r="H7" s="4">
        <v>0</v>
      </c>
      <c r="I7" s="4">
        <v>0</v>
      </c>
    </row>
    <row r="8" spans="1:9" x14ac:dyDescent="0.25">
      <c r="A8" s="3">
        <v>6</v>
      </c>
      <c r="B8" s="4">
        <v>15</v>
      </c>
      <c r="C8" s="3">
        <v>26</v>
      </c>
      <c r="D8" s="3">
        <v>13</v>
      </c>
      <c r="E8" s="4">
        <v>1</v>
      </c>
      <c r="F8" s="4">
        <v>0</v>
      </c>
      <c r="G8" s="3">
        <v>7</v>
      </c>
      <c r="H8" s="4">
        <v>1</v>
      </c>
      <c r="I8" s="4">
        <v>0</v>
      </c>
    </row>
    <row r="9" spans="1:9" x14ac:dyDescent="0.25">
      <c r="A9" s="3">
        <v>7</v>
      </c>
      <c r="B9" s="4">
        <v>52</v>
      </c>
      <c r="C9" s="3">
        <v>26</v>
      </c>
      <c r="D9" s="3">
        <v>15</v>
      </c>
      <c r="E9" s="4">
        <v>1</v>
      </c>
      <c r="F9" s="4">
        <v>0</v>
      </c>
      <c r="G9" s="3">
        <v>6</v>
      </c>
      <c r="H9" s="4">
        <v>0</v>
      </c>
      <c r="I9" s="4">
        <v>0</v>
      </c>
    </row>
    <row r="10" spans="1:9" x14ac:dyDescent="0.25">
      <c r="A10" s="3">
        <v>8</v>
      </c>
      <c r="B10" s="4">
        <v>72</v>
      </c>
      <c r="C10" s="3">
        <v>33</v>
      </c>
      <c r="D10" s="3">
        <v>13</v>
      </c>
      <c r="E10" s="4">
        <v>0</v>
      </c>
      <c r="F10" s="4">
        <v>1</v>
      </c>
      <c r="G10" s="3">
        <v>6</v>
      </c>
      <c r="H10" s="4">
        <v>0</v>
      </c>
      <c r="I10" s="4">
        <v>0</v>
      </c>
    </row>
    <row r="11" spans="1:9" x14ac:dyDescent="0.25">
      <c r="A11" s="3">
        <v>9</v>
      </c>
      <c r="B11" s="4">
        <v>11</v>
      </c>
      <c r="C11" s="3">
        <v>27</v>
      </c>
      <c r="D11" s="3">
        <v>12</v>
      </c>
      <c r="E11" s="4">
        <v>1</v>
      </c>
      <c r="F11" s="4">
        <v>1</v>
      </c>
      <c r="G11" s="3">
        <v>8</v>
      </c>
      <c r="H11" s="4">
        <v>0</v>
      </c>
      <c r="I11" s="4">
        <v>0</v>
      </c>
    </row>
    <row r="12" spans="1:9" x14ac:dyDescent="0.25">
      <c r="A12" s="3">
        <v>10</v>
      </c>
      <c r="B12" s="4">
        <v>13</v>
      </c>
      <c r="C12" s="3">
        <v>33</v>
      </c>
      <c r="D12" s="3">
        <v>12</v>
      </c>
      <c r="E12" s="4">
        <v>0</v>
      </c>
      <c r="F12" s="4">
        <v>1</v>
      </c>
      <c r="G12" s="3">
        <v>2</v>
      </c>
      <c r="H12" s="4">
        <v>0</v>
      </c>
      <c r="I12" s="4">
        <v>0</v>
      </c>
    </row>
    <row r="13" spans="1:9" x14ac:dyDescent="0.25">
      <c r="A13" s="3">
        <v>11</v>
      </c>
      <c r="B13" s="4">
        <v>39</v>
      </c>
      <c r="C13" s="3">
        <v>20</v>
      </c>
      <c r="D13" s="3">
        <v>11</v>
      </c>
      <c r="E13" s="4">
        <v>1</v>
      </c>
      <c r="F13" s="4">
        <v>0</v>
      </c>
      <c r="G13" s="3">
        <v>1</v>
      </c>
      <c r="H13" s="4">
        <v>0</v>
      </c>
      <c r="I13" s="4">
        <v>0</v>
      </c>
    </row>
    <row r="14" spans="1:9" x14ac:dyDescent="0.25">
      <c r="A14" s="3">
        <v>12</v>
      </c>
      <c r="B14" s="4">
        <v>59</v>
      </c>
      <c r="C14" s="3">
        <v>35</v>
      </c>
      <c r="D14" s="3">
        <v>7</v>
      </c>
      <c r="E14" s="4">
        <v>1</v>
      </c>
      <c r="F14" s="4">
        <v>1</v>
      </c>
      <c r="G14" s="3">
        <v>6</v>
      </c>
      <c r="H14" s="4">
        <v>0</v>
      </c>
      <c r="I14" s="4">
        <v>0</v>
      </c>
    </row>
    <row r="15" spans="1:9" x14ac:dyDescent="0.25">
      <c r="A15" s="3">
        <v>13</v>
      </c>
      <c r="B15" s="4">
        <v>39</v>
      </c>
      <c r="C15" s="3">
        <v>36</v>
      </c>
      <c r="D15" s="3">
        <v>17</v>
      </c>
      <c r="E15" s="4">
        <v>0</v>
      </c>
      <c r="F15" s="4">
        <v>1</v>
      </c>
      <c r="G15" s="3">
        <v>9</v>
      </c>
      <c r="H15" s="4">
        <v>1</v>
      </c>
      <c r="I15" s="4">
        <v>0</v>
      </c>
    </row>
    <row r="16" spans="1:9" x14ac:dyDescent="0.25">
      <c r="A16" s="3">
        <v>14</v>
      </c>
      <c r="B16" s="4">
        <v>44</v>
      </c>
      <c r="C16" s="3">
        <v>26</v>
      </c>
      <c r="D16" s="3">
        <v>12</v>
      </c>
      <c r="E16" s="4">
        <v>1</v>
      </c>
      <c r="F16" s="4">
        <v>1</v>
      </c>
      <c r="G16" s="3">
        <v>8</v>
      </c>
      <c r="H16" s="4">
        <v>0</v>
      </c>
      <c r="I16" s="4">
        <v>0</v>
      </c>
    </row>
    <row r="17" spans="1:21" x14ac:dyDescent="0.25">
      <c r="A17" s="3">
        <v>15</v>
      </c>
      <c r="B17" s="4">
        <v>56</v>
      </c>
      <c r="C17" s="3">
        <v>36</v>
      </c>
      <c r="D17" s="3">
        <v>15</v>
      </c>
      <c r="E17" s="4">
        <v>0</v>
      </c>
      <c r="F17" s="4">
        <v>1</v>
      </c>
      <c r="G17" s="3">
        <v>8</v>
      </c>
      <c r="H17" s="4">
        <v>0</v>
      </c>
      <c r="I17" s="4">
        <v>0</v>
      </c>
    </row>
    <row r="18" spans="1:21" x14ac:dyDescent="0.25">
      <c r="A18" s="3">
        <v>16</v>
      </c>
      <c r="B18" s="4">
        <v>31</v>
      </c>
      <c r="C18" s="3">
        <v>38</v>
      </c>
      <c r="D18" s="3">
        <v>16</v>
      </c>
      <c r="E18" s="4">
        <v>1</v>
      </c>
      <c r="F18" s="4">
        <v>1</v>
      </c>
      <c r="G18" s="3">
        <v>11</v>
      </c>
      <c r="H18" s="4">
        <v>0</v>
      </c>
      <c r="I18" s="4">
        <v>1</v>
      </c>
    </row>
    <row r="19" spans="1:21" x14ac:dyDescent="0.25">
      <c r="A19" s="3">
        <v>17</v>
      </c>
      <c r="B19" s="4">
        <v>62</v>
      </c>
      <c r="C19" s="3">
        <v>34</v>
      </c>
      <c r="D19" s="3">
        <v>13</v>
      </c>
      <c r="E19" s="4">
        <v>0</v>
      </c>
      <c r="F19" s="4">
        <v>1</v>
      </c>
      <c r="G19" s="3">
        <v>13</v>
      </c>
      <c r="H19" s="4">
        <v>0</v>
      </c>
      <c r="I19" s="4">
        <v>0</v>
      </c>
      <c r="J19" t="s">
        <v>39</v>
      </c>
      <c r="K19">
        <f>_xlfn.QUARTILE.INC(B3:B52,1)</f>
        <v>23.5</v>
      </c>
      <c r="N19">
        <f>MIN(B3:B52)</f>
        <v>4</v>
      </c>
      <c r="Q19" t="s">
        <v>39</v>
      </c>
      <c r="R19">
        <f>_xlfn.QUARTILE.INC(C3:C52,1)</f>
        <v>27.25</v>
      </c>
      <c r="T19" t="s">
        <v>47</v>
      </c>
      <c r="U19">
        <f>MIN(C3:C52)</f>
        <v>20</v>
      </c>
    </row>
    <row r="20" spans="1:21" x14ac:dyDescent="0.25">
      <c r="A20" s="3">
        <v>18</v>
      </c>
      <c r="B20" s="4">
        <v>25</v>
      </c>
      <c r="C20" s="3">
        <v>27</v>
      </c>
      <c r="D20" s="3">
        <v>19</v>
      </c>
      <c r="E20" s="4">
        <v>1</v>
      </c>
      <c r="F20" s="4">
        <v>0</v>
      </c>
      <c r="G20" s="3">
        <v>8</v>
      </c>
      <c r="H20" s="4">
        <v>0</v>
      </c>
      <c r="I20" s="4">
        <v>0</v>
      </c>
      <c r="J20" t="s">
        <v>38</v>
      </c>
      <c r="K20">
        <f>_xlfn.QUARTILE.INC(B3:B52,3)</f>
        <v>61.25</v>
      </c>
      <c r="N20">
        <f>MAX(B3:B52)</f>
        <v>98</v>
      </c>
      <c r="Q20" t="s">
        <v>44</v>
      </c>
      <c r="R20">
        <f>_xlfn.QUARTILE.INC(C3:C52,3)</f>
        <v>39.75</v>
      </c>
      <c r="T20" t="s">
        <v>41</v>
      </c>
      <c r="U20">
        <f>MAX(C3:C52)</f>
        <v>62</v>
      </c>
    </row>
    <row r="21" spans="1:21" x14ac:dyDescent="0.25">
      <c r="A21" s="3">
        <v>19</v>
      </c>
      <c r="B21" s="4">
        <v>72</v>
      </c>
      <c r="C21" s="3">
        <v>44</v>
      </c>
      <c r="D21" s="3">
        <v>13</v>
      </c>
      <c r="E21" s="4">
        <v>1</v>
      </c>
      <c r="F21" s="4">
        <v>0</v>
      </c>
      <c r="G21" s="3">
        <v>22</v>
      </c>
      <c r="H21" s="4">
        <v>0</v>
      </c>
      <c r="I21" s="4">
        <v>0</v>
      </c>
      <c r="J21" t="s">
        <v>40</v>
      </c>
      <c r="K21">
        <f>K20-K19</f>
        <v>37.75</v>
      </c>
      <c r="Q21" t="s">
        <v>40</v>
      </c>
      <c r="R21">
        <f>R20-R19</f>
        <v>12.5</v>
      </c>
    </row>
    <row r="22" spans="1:21" x14ac:dyDescent="0.25">
      <c r="A22" s="3">
        <v>20</v>
      </c>
      <c r="B22" s="4">
        <v>65</v>
      </c>
      <c r="C22" s="3">
        <v>45</v>
      </c>
      <c r="D22" s="3">
        <v>15</v>
      </c>
      <c r="E22" s="4">
        <v>1</v>
      </c>
      <c r="F22" s="4">
        <v>1</v>
      </c>
      <c r="G22" s="3">
        <v>6</v>
      </c>
      <c r="H22" s="4">
        <v>0</v>
      </c>
      <c r="I22" s="4">
        <v>0</v>
      </c>
      <c r="J22" t="s">
        <v>42</v>
      </c>
      <c r="K22">
        <f>K19-1.5*K21</f>
        <v>-33.125</v>
      </c>
      <c r="Q22" t="s">
        <v>45</v>
      </c>
      <c r="R22">
        <f>R19-1.5*R21</f>
        <v>8.5</v>
      </c>
    </row>
    <row r="23" spans="1:21" x14ac:dyDescent="0.25">
      <c r="A23" s="3">
        <v>21</v>
      </c>
      <c r="B23" s="4">
        <v>44</v>
      </c>
      <c r="C23" s="3">
        <v>28</v>
      </c>
      <c r="D23" s="3">
        <v>17</v>
      </c>
      <c r="E23" s="4">
        <v>0</v>
      </c>
      <c r="F23" s="4">
        <v>1</v>
      </c>
      <c r="G23" s="3">
        <v>3</v>
      </c>
      <c r="H23" s="4">
        <v>0</v>
      </c>
      <c r="I23" s="4">
        <v>1</v>
      </c>
      <c r="J23" t="s">
        <v>43</v>
      </c>
      <c r="K23">
        <f>K20+1.5*K21</f>
        <v>117.875</v>
      </c>
      <c r="Q23" t="s">
        <v>46</v>
      </c>
      <c r="R23">
        <f>R20+1.5*R21</f>
        <v>58.5</v>
      </c>
    </row>
    <row r="24" spans="1:21" x14ac:dyDescent="0.25">
      <c r="A24" s="3">
        <v>22</v>
      </c>
      <c r="B24" s="4">
        <v>49</v>
      </c>
      <c r="C24" s="3">
        <v>25</v>
      </c>
      <c r="D24" s="3">
        <v>10</v>
      </c>
      <c r="E24" s="4">
        <v>1</v>
      </c>
      <c r="F24" s="4">
        <v>1</v>
      </c>
      <c r="G24" s="3">
        <v>1</v>
      </c>
      <c r="H24" s="4">
        <v>0</v>
      </c>
      <c r="I24" s="4">
        <v>0</v>
      </c>
    </row>
    <row r="25" spans="1:21" x14ac:dyDescent="0.25">
      <c r="A25" s="3">
        <v>23</v>
      </c>
      <c r="B25" s="4">
        <v>80</v>
      </c>
      <c r="C25" s="3">
        <v>31</v>
      </c>
      <c r="D25" s="3">
        <v>15</v>
      </c>
      <c r="E25" s="4">
        <v>1</v>
      </c>
      <c r="F25" s="4">
        <v>0</v>
      </c>
      <c r="G25" s="3">
        <v>12</v>
      </c>
      <c r="H25" s="4">
        <v>0</v>
      </c>
      <c r="I25" s="4">
        <v>0</v>
      </c>
    </row>
    <row r="26" spans="1:21" x14ac:dyDescent="0.25">
      <c r="A26" s="3">
        <v>24</v>
      </c>
      <c r="B26" s="4">
        <v>7</v>
      </c>
      <c r="C26" s="3">
        <v>23</v>
      </c>
      <c r="D26" s="3">
        <v>15</v>
      </c>
      <c r="E26" s="4">
        <v>1</v>
      </c>
      <c r="F26" s="4">
        <v>0</v>
      </c>
      <c r="G26" s="3">
        <v>2</v>
      </c>
      <c r="H26" s="4">
        <v>0</v>
      </c>
      <c r="I26" s="4">
        <v>0</v>
      </c>
    </row>
    <row r="27" spans="1:21" x14ac:dyDescent="0.25">
      <c r="A27" s="3">
        <v>25</v>
      </c>
      <c r="B27" s="4">
        <v>14</v>
      </c>
      <c r="C27" s="3">
        <v>24</v>
      </c>
      <c r="D27" s="3">
        <v>13</v>
      </c>
      <c r="E27" s="4">
        <v>1</v>
      </c>
      <c r="F27" s="4">
        <v>1</v>
      </c>
      <c r="G27" s="3">
        <v>7</v>
      </c>
      <c r="H27" s="4">
        <v>0</v>
      </c>
      <c r="I27" s="4">
        <v>0</v>
      </c>
    </row>
    <row r="28" spans="1:21" x14ac:dyDescent="0.25">
      <c r="A28" s="3">
        <v>26</v>
      </c>
      <c r="B28" s="4">
        <v>94</v>
      </c>
      <c r="C28" s="3">
        <v>62</v>
      </c>
      <c r="D28" s="3">
        <v>13</v>
      </c>
      <c r="E28" s="4">
        <v>0</v>
      </c>
      <c r="F28" s="4">
        <v>1</v>
      </c>
      <c r="G28" s="3">
        <v>8</v>
      </c>
      <c r="H28" s="4">
        <v>0</v>
      </c>
      <c r="I28" s="4">
        <v>0</v>
      </c>
    </row>
    <row r="29" spans="1:21" x14ac:dyDescent="0.25">
      <c r="A29" s="3">
        <v>27</v>
      </c>
      <c r="B29" s="4">
        <v>48</v>
      </c>
      <c r="C29" s="3">
        <v>31</v>
      </c>
      <c r="D29" s="3">
        <v>16</v>
      </c>
      <c r="E29" s="4">
        <v>1</v>
      </c>
      <c r="F29" s="4">
        <v>0</v>
      </c>
      <c r="G29" s="3">
        <v>11</v>
      </c>
      <c r="H29" s="4">
        <v>0</v>
      </c>
      <c r="I29" s="4">
        <v>0</v>
      </c>
      <c r="R29" t="s">
        <v>51</v>
      </c>
    </row>
    <row r="30" spans="1:21" x14ac:dyDescent="0.25">
      <c r="A30" s="3">
        <v>28</v>
      </c>
      <c r="B30" s="4">
        <v>82</v>
      </c>
      <c r="C30" s="3">
        <v>48</v>
      </c>
      <c r="D30" s="3">
        <v>18</v>
      </c>
      <c r="E30" s="4">
        <v>0</v>
      </c>
      <c r="F30" s="4">
        <v>1</v>
      </c>
      <c r="G30" s="3">
        <v>30</v>
      </c>
      <c r="H30" s="4">
        <v>0</v>
      </c>
      <c r="I30" s="4">
        <v>0</v>
      </c>
      <c r="Q30" t="s">
        <v>3</v>
      </c>
      <c r="R30" s="9">
        <f>SKEW(B3:B52)</f>
        <v>0.34232064794106054</v>
      </c>
      <c r="S30" t="s">
        <v>53</v>
      </c>
    </row>
    <row r="31" spans="1:21" x14ac:dyDescent="0.25">
      <c r="A31" s="3">
        <v>29</v>
      </c>
      <c r="B31" s="4">
        <v>50</v>
      </c>
      <c r="C31" s="3">
        <v>35</v>
      </c>
      <c r="D31" s="3">
        <v>18</v>
      </c>
      <c r="E31" s="4">
        <v>1</v>
      </c>
      <c r="F31" s="4">
        <v>1</v>
      </c>
      <c r="G31" s="3">
        <v>5</v>
      </c>
      <c r="H31" s="4">
        <v>0</v>
      </c>
      <c r="I31" s="4">
        <v>0</v>
      </c>
      <c r="Q31" t="s">
        <v>4</v>
      </c>
      <c r="R31">
        <f>SKEW(C3:C52)</f>
        <v>1.0319676833686999</v>
      </c>
      <c r="S31" t="s">
        <v>54</v>
      </c>
    </row>
    <row r="32" spans="1:21" x14ac:dyDescent="0.25">
      <c r="A32" s="3">
        <v>30</v>
      </c>
      <c r="B32" s="4">
        <v>37</v>
      </c>
      <c r="C32" s="3">
        <v>33</v>
      </c>
      <c r="D32" s="3">
        <v>14</v>
      </c>
      <c r="E32" s="4">
        <v>0</v>
      </c>
      <c r="F32" s="4">
        <v>1</v>
      </c>
      <c r="G32" s="3">
        <v>6</v>
      </c>
      <c r="H32" s="4">
        <v>0</v>
      </c>
      <c r="I32" s="4">
        <v>1</v>
      </c>
      <c r="Q32" t="s">
        <v>52</v>
      </c>
      <c r="R32">
        <f>SKEW(G3:G52)</f>
        <v>1.4732408960767189</v>
      </c>
      <c r="S32" t="s">
        <v>54</v>
      </c>
    </row>
    <row r="33" spans="1:15" x14ac:dyDescent="0.25">
      <c r="A33" s="3">
        <v>31</v>
      </c>
      <c r="B33" s="4">
        <v>62</v>
      </c>
      <c r="C33" s="3">
        <v>46</v>
      </c>
      <c r="D33" s="3">
        <v>15</v>
      </c>
      <c r="E33" s="4">
        <v>0</v>
      </c>
      <c r="F33" s="4">
        <v>1</v>
      </c>
      <c r="G33" s="3">
        <v>6</v>
      </c>
      <c r="H33" s="4">
        <v>0</v>
      </c>
      <c r="I33" s="4">
        <v>0</v>
      </c>
    </row>
    <row r="34" spans="1:15" x14ac:dyDescent="0.25">
      <c r="A34" s="3">
        <v>32</v>
      </c>
      <c r="B34" s="4">
        <v>37</v>
      </c>
      <c r="C34" s="3">
        <v>35</v>
      </c>
      <c r="D34" s="3">
        <v>8</v>
      </c>
      <c r="E34" s="4">
        <v>0</v>
      </c>
      <c r="F34" s="4">
        <v>1</v>
      </c>
      <c r="G34" s="3">
        <v>6</v>
      </c>
      <c r="H34" s="4">
        <v>0</v>
      </c>
      <c r="I34" s="4">
        <v>0</v>
      </c>
    </row>
    <row r="35" spans="1:15" x14ac:dyDescent="0.25">
      <c r="A35" s="3">
        <v>33</v>
      </c>
      <c r="B35" s="4">
        <v>40</v>
      </c>
      <c r="C35" s="3">
        <v>32</v>
      </c>
      <c r="D35" s="3">
        <v>9</v>
      </c>
      <c r="E35" s="4">
        <v>1</v>
      </c>
      <c r="F35" s="4">
        <v>1</v>
      </c>
      <c r="G35" s="3">
        <v>13</v>
      </c>
      <c r="H35" s="4">
        <v>0</v>
      </c>
      <c r="I35" s="4">
        <v>0</v>
      </c>
    </row>
    <row r="36" spans="1:15" x14ac:dyDescent="0.25">
      <c r="A36" s="3">
        <v>34</v>
      </c>
      <c r="B36" s="4">
        <v>16</v>
      </c>
      <c r="C36" s="3">
        <v>40</v>
      </c>
      <c r="D36" s="3">
        <v>17</v>
      </c>
      <c r="E36" s="4">
        <v>1</v>
      </c>
      <c r="F36" s="4">
        <v>0</v>
      </c>
      <c r="G36" s="3">
        <v>8</v>
      </c>
      <c r="H36" s="4">
        <v>1</v>
      </c>
      <c r="I36" s="4">
        <v>0</v>
      </c>
    </row>
    <row r="37" spans="1:15" x14ac:dyDescent="0.25">
      <c r="A37" s="3">
        <v>35</v>
      </c>
      <c r="B37" s="4">
        <v>34</v>
      </c>
      <c r="C37" s="3">
        <v>23</v>
      </c>
      <c r="D37" s="3">
        <v>12</v>
      </c>
      <c r="E37" s="4">
        <v>1</v>
      </c>
      <c r="F37" s="4">
        <v>1</v>
      </c>
      <c r="G37" s="3">
        <v>1</v>
      </c>
      <c r="H37" s="4">
        <v>0</v>
      </c>
      <c r="I37" s="4">
        <v>0</v>
      </c>
    </row>
    <row r="38" spans="1:15" x14ac:dyDescent="0.25">
      <c r="A38" s="3">
        <v>36</v>
      </c>
      <c r="B38" s="4">
        <v>4</v>
      </c>
      <c r="C38" s="3">
        <v>36</v>
      </c>
      <c r="D38" s="3">
        <v>16</v>
      </c>
      <c r="E38" s="4">
        <v>0</v>
      </c>
      <c r="F38" s="4">
        <v>1</v>
      </c>
      <c r="G38" s="3">
        <v>8</v>
      </c>
      <c r="H38" s="4">
        <v>0</v>
      </c>
      <c r="I38" s="4">
        <v>1</v>
      </c>
    </row>
    <row r="39" spans="1:15" x14ac:dyDescent="0.25">
      <c r="A39" s="3">
        <v>37</v>
      </c>
      <c r="B39" s="4">
        <v>55</v>
      </c>
      <c r="C39" s="3">
        <v>33</v>
      </c>
      <c r="D39" s="3">
        <v>12</v>
      </c>
      <c r="E39" s="4">
        <v>1</v>
      </c>
      <c r="F39" s="4">
        <v>0</v>
      </c>
      <c r="G39" s="3">
        <v>10</v>
      </c>
      <c r="H39" s="4">
        <v>0</v>
      </c>
      <c r="I39" s="4">
        <v>1</v>
      </c>
    </row>
    <row r="40" spans="1:15" x14ac:dyDescent="0.25">
      <c r="A40" s="3">
        <v>38</v>
      </c>
      <c r="B40" s="4">
        <v>39</v>
      </c>
      <c r="C40" s="3">
        <v>32</v>
      </c>
      <c r="D40" s="3">
        <v>16</v>
      </c>
      <c r="E40" s="4">
        <v>0</v>
      </c>
      <c r="F40" s="4">
        <v>1</v>
      </c>
      <c r="G40" s="3">
        <v>11</v>
      </c>
      <c r="H40" s="4">
        <v>0</v>
      </c>
      <c r="I40" s="4">
        <v>0</v>
      </c>
    </row>
    <row r="41" spans="1:15" x14ac:dyDescent="0.25">
      <c r="A41" s="3">
        <v>39</v>
      </c>
      <c r="B41" s="4">
        <v>80</v>
      </c>
      <c r="C41" s="3">
        <v>62</v>
      </c>
      <c r="D41" s="3">
        <v>15</v>
      </c>
      <c r="E41" s="4">
        <v>1</v>
      </c>
      <c r="F41" s="4">
        <v>0</v>
      </c>
      <c r="G41" s="3">
        <v>16</v>
      </c>
      <c r="H41" s="4">
        <v>0</v>
      </c>
      <c r="I41" s="4">
        <v>1</v>
      </c>
    </row>
    <row r="42" spans="1:15" x14ac:dyDescent="0.25">
      <c r="A42" s="3">
        <v>40</v>
      </c>
      <c r="B42" s="4">
        <v>19</v>
      </c>
      <c r="C42" s="3">
        <v>29</v>
      </c>
      <c r="D42" s="3">
        <v>14</v>
      </c>
      <c r="E42" s="4">
        <v>1</v>
      </c>
      <c r="F42" s="4">
        <v>1</v>
      </c>
      <c r="G42" s="3">
        <v>12</v>
      </c>
      <c r="H42" s="4">
        <v>0</v>
      </c>
      <c r="I42" s="4">
        <v>0</v>
      </c>
      <c r="K42" t="s">
        <v>39</v>
      </c>
      <c r="L42">
        <f>_xlfn.QUARTILE.INC(G3:G52,1)</f>
        <v>6</v>
      </c>
      <c r="N42" t="s">
        <v>48</v>
      </c>
      <c r="O42">
        <f>MIN(G3:G52)</f>
        <v>1</v>
      </c>
    </row>
    <row r="43" spans="1:15" x14ac:dyDescent="0.25">
      <c r="A43" s="3">
        <v>41</v>
      </c>
      <c r="B43" s="4">
        <v>98</v>
      </c>
      <c r="C43" s="3">
        <v>45</v>
      </c>
      <c r="D43" s="3">
        <v>12</v>
      </c>
      <c r="E43" s="4">
        <v>1</v>
      </c>
      <c r="F43" s="4">
        <v>0</v>
      </c>
      <c r="G43" s="3">
        <v>17</v>
      </c>
      <c r="H43" s="4">
        <v>0</v>
      </c>
      <c r="I43" s="4">
        <v>0</v>
      </c>
      <c r="K43" t="s">
        <v>44</v>
      </c>
      <c r="L43">
        <f>_xlfn.QUARTILE.INC(G3:G52,3)</f>
        <v>11</v>
      </c>
      <c r="N43" t="s">
        <v>49</v>
      </c>
      <c r="O43">
        <f>MAX(G3:G52)</f>
        <v>30</v>
      </c>
    </row>
    <row r="44" spans="1:15" x14ac:dyDescent="0.25">
      <c r="A44" s="3">
        <v>42</v>
      </c>
      <c r="B44" s="4">
        <v>30</v>
      </c>
      <c r="C44" s="3">
        <v>38</v>
      </c>
      <c r="D44" s="3">
        <v>15</v>
      </c>
      <c r="E44" s="4">
        <v>0</v>
      </c>
      <c r="F44" s="4">
        <v>1</v>
      </c>
      <c r="G44" s="3">
        <v>6</v>
      </c>
      <c r="H44" s="4">
        <v>0</v>
      </c>
      <c r="I44" s="4">
        <v>1</v>
      </c>
      <c r="K44" t="s">
        <v>40</v>
      </c>
      <c r="L44">
        <f>L43-L42</f>
        <v>5</v>
      </c>
      <c r="N44" t="s">
        <v>50</v>
      </c>
      <c r="O44">
        <v>22</v>
      </c>
    </row>
    <row r="45" spans="1:15" x14ac:dyDescent="0.25">
      <c r="A45" s="3">
        <v>43</v>
      </c>
      <c r="B45" s="4">
        <v>22</v>
      </c>
      <c r="C45" s="3">
        <v>40</v>
      </c>
      <c r="D45" s="3">
        <v>8</v>
      </c>
      <c r="E45" s="4">
        <v>1</v>
      </c>
      <c r="F45" s="4">
        <v>1</v>
      </c>
      <c r="G45" s="3">
        <v>16</v>
      </c>
      <c r="H45" s="4">
        <v>0</v>
      </c>
      <c r="I45" s="4">
        <v>1</v>
      </c>
      <c r="K45" t="s">
        <v>45</v>
      </c>
      <c r="L45">
        <f>L42-1.5*L44</f>
        <v>-1.5</v>
      </c>
    </row>
    <row r="46" spans="1:15" x14ac:dyDescent="0.25">
      <c r="A46" s="3">
        <v>44</v>
      </c>
      <c r="B46" s="4">
        <v>57</v>
      </c>
      <c r="C46" s="3">
        <v>42</v>
      </c>
      <c r="D46" s="3">
        <v>13</v>
      </c>
      <c r="E46" s="4">
        <v>1</v>
      </c>
      <c r="F46" s="4">
        <v>0</v>
      </c>
      <c r="G46" s="3">
        <v>2</v>
      </c>
      <c r="H46" s="4">
        <v>1</v>
      </c>
      <c r="I46" s="4">
        <v>0</v>
      </c>
      <c r="K46" t="s">
        <v>46</v>
      </c>
      <c r="L46">
        <f>L43+1.5*L44</f>
        <v>18.5</v>
      </c>
    </row>
    <row r="47" spans="1:15" x14ac:dyDescent="0.25">
      <c r="A47" s="3">
        <v>45</v>
      </c>
      <c r="B47" s="4">
        <v>64</v>
      </c>
      <c r="C47" s="3">
        <v>45</v>
      </c>
      <c r="D47" s="3">
        <v>16</v>
      </c>
      <c r="E47" s="4">
        <v>1</v>
      </c>
      <c r="F47" s="4">
        <v>1</v>
      </c>
      <c r="G47" s="3">
        <v>22</v>
      </c>
      <c r="H47" s="4">
        <v>0</v>
      </c>
      <c r="I47" s="4">
        <v>0</v>
      </c>
    </row>
    <row r="48" spans="1:15" x14ac:dyDescent="0.25">
      <c r="A48" s="3">
        <v>46</v>
      </c>
      <c r="B48" s="4">
        <v>22</v>
      </c>
      <c r="C48" s="3">
        <v>39</v>
      </c>
      <c r="D48" s="3">
        <v>11</v>
      </c>
      <c r="E48" s="4">
        <v>1</v>
      </c>
      <c r="F48" s="4">
        <v>1</v>
      </c>
      <c r="G48" s="3">
        <v>4</v>
      </c>
      <c r="H48" s="4">
        <v>0</v>
      </c>
      <c r="I48" s="4">
        <v>0</v>
      </c>
    </row>
    <row r="49" spans="1:9" x14ac:dyDescent="0.25">
      <c r="A49" s="3">
        <v>47</v>
      </c>
      <c r="B49" s="4">
        <v>27</v>
      </c>
      <c r="C49" s="3">
        <v>27</v>
      </c>
      <c r="D49" s="3">
        <v>15</v>
      </c>
      <c r="E49" s="4">
        <v>1</v>
      </c>
      <c r="F49" s="4">
        <v>0</v>
      </c>
      <c r="G49" s="3">
        <v>10</v>
      </c>
      <c r="H49" s="4">
        <v>0</v>
      </c>
      <c r="I49" s="4">
        <v>1</v>
      </c>
    </row>
    <row r="50" spans="1:9" x14ac:dyDescent="0.25">
      <c r="A50" s="3">
        <v>48</v>
      </c>
      <c r="B50" s="4">
        <v>20</v>
      </c>
      <c r="C50" s="3">
        <v>42</v>
      </c>
      <c r="D50" s="3">
        <v>14</v>
      </c>
      <c r="E50" s="4">
        <v>1</v>
      </c>
      <c r="F50" s="4">
        <v>1</v>
      </c>
      <c r="G50" s="3">
        <v>6</v>
      </c>
      <c r="H50" s="4">
        <v>1</v>
      </c>
      <c r="I50" s="4">
        <v>0</v>
      </c>
    </row>
    <row r="51" spans="1:9" x14ac:dyDescent="0.25">
      <c r="A51" s="3">
        <v>49</v>
      </c>
      <c r="B51" s="4">
        <v>30</v>
      </c>
      <c r="C51" s="3">
        <v>31</v>
      </c>
      <c r="D51" s="3">
        <v>10</v>
      </c>
      <c r="E51" s="4">
        <v>1</v>
      </c>
      <c r="F51" s="4">
        <v>1</v>
      </c>
      <c r="G51" s="3">
        <v>8</v>
      </c>
      <c r="H51" s="4">
        <v>0</v>
      </c>
      <c r="I51" s="4">
        <v>0</v>
      </c>
    </row>
    <row r="52" spans="1:9" x14ac:dyDescent="0.25">
      <c r="A52" s="3">
        <v>50</v>
      </c>
      <c r="B52" s="4">
        <v>23</v>
      </c>
      <c r="C52" s="3">
        <v>33</v>
      </c>
      <c r="D52" s="3">
        <v>13</v>
      </c>
      <c r="E52" s="4">
        <v>1</v>
      </c>
      <c r="F52" s="4">
        <v>1</v>
      </c>
      <c r="G52" s="3">
        <v>8</v>
      </c>
      <c r="H52" s="4">
        <v>0</v>
      </c>
      <c r="I52" s="4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A15" sqref="A15"/>
    </sheetView>
  </sheetViews>
  <sheetFormatPr baseColWidth="10" defaultRowHeight="15" x14ac:dyDescent="0.25"/>
  <cols>
    <col min="1" max="1" width="23.28515625" customWidth="1"/>
  </cols>
  <sheetData>
    <row r="1" spans="1:16" x14ac:dyDescent="0.25">
      <c r="A1" s="8" t="s">
        <v>17</v>
      </c>
      <c r="B1" s="8"/>
      <c r="C1" s="8" t="s">
        <v>18</v>
      </c>
      <c r="D1" s="8"/>
      <c r="E1" s="8" t="s">
        <v>19</v>
      </c>
      <c r="F1" s="8"/>
      <c r="G1" s="8" t="s">
        <v>20</v>
      </c>
      <c r="H1" s="8"/>
      <c r="I1" s="8" t="s">
        <v>21</v>
      </c>
      <c r="J1" s="8"/>
      <c r="K1" s="8" t="s">
        <v>22</v>
      </c>
      <c r="L1" s="8"/>
      <c r="M1" s="8" t="s">
        <v>23</v>
      </c>
      <c r="N1" s="8"/>
      <c r="O1" s="8" t="s">
        <v>24</v>
      </c>
      <c r="P1" s="8"/>
    </row>
    <row r="2" spans="1:1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 t="s">
        <v>25</v>
      </c>
      <c r="B3" s="6">
        <v>43.36</v>
      </c>
      <c r="C3" s="6" t="s">
        <v>25</v>
      </c>
      <c r="D3" s="6">
        <v>34.6</v>
      </c>
      <c r="E3" s="6" t="s">
        <v>25</v>
      </c>
      <c r="F3" s="6">
        <v>13.52</v>
      </c>
      <c r="G3" s="6" t="s">
        <v>25</v>
      </c>
      <c r="H3" s="6">
        <v>0.7</v>
      </c>
      <c r="I3" s="6" t="s">
        <v>25</v>
      </c>
      <c r="J3" s="6">
        <v>0.68</v>
      </c>
      <c r="K3" s="6" t="s">
        <v>25</v>
      </c>
      <c r="L3" s="6">
        <v>8.36</v>
      </c>
      <c r="M3" s="6" t="s">
        <v>25</v>
      </c>
      <c r="N3" s="6">
        <v>0.1</v>
      </c>
      <c r="O3" s="6" t="s">
        <v>25</v>
      </c>
      <c r="P3" s="6">
        <v>0.18</v>
      </c>
    </row>
    <row r="4" spans="1:16" x14ac:dyDescent="0.25">
      <c r="A4" s="6" t="s">
        <v>26</v>
      </c>
      <c r="B4" s="6">
        <v>3.348927333597175</v>
      </c>
      <c r="C4" s="6" t="s">
        <v>26</v>
      </c>
      <c r="D4" s="6">
        <v>1.2812621328444951</v>
      </c>
      <c r="E4" s="6" t="s">
        <v>26</v>
      </c>
      <c r="F4" s="6">
        <v>0.38037575407183105</v>
      </c>
      <c r="G4" s="6" t="s">
        <v>26</v>
      </c>
      <c r="H4" s="6">
        <v>6.5465367070797711E-2</v>
      </c>
      <c r="I4" s="6" t="s">
        <v>26</v>
      </c>
      <c r="J4" s="6">
        <v>6.6639450226803426E-2</v>
      </c>
      <c r="K4" s="6" t="s">
        <v>26</v>
      </c>
      <c r="L4" s="6">
        <v>0.82648011939495669</v>
      </c>
      <c r="M4" s="6" t="s">
        <v>26</v>
      </c>
      <c r="N4" s="6">
        <v>4.2857142857142858E-2</v>
      </c>
      <c r="O4" s="6" t="s">
        <v>26</v>
      </c>
      <c r="P4" s="6">
        <v>5.4883922035138699E-2</v>
      </c>
    </row>
    <row r="5" spans="1:16" x14ac:dyDescent="0.25">
      <c r="A5" s="6" t="s">
        <v>27</v>
      </c>
      <c r="B5" s="6">
        <v>39.5</v>
      </c>
      <c r="C5" s="6" t="s">
        <v>27</v>
      </c>
      <c r="D5" s="6">
        <v>33</v>
      </c>
      <c r="E5" s="6" t="s">
        <v>27</v>
      </c>
      <c r="F5" s="6">
        <v>14</v>
      </c>
      <c r="G5" s="6" t="s">
        <v>27</v>
      </c>
      <c r="H5" s="6">
        <v>1</v>
      </c>
      <c r="I5" s="6" t="s">
        <v>27</v>
      </c>
      <c r="J5" s="6">
        <v>1</v>
      </c>
      <c r="K5" s="6" t="s">
        <v>27</v>
      </c>
      <c r="L5" s="6">
        <v>8</v>
      </c>
      <c r="M5" s="6" t="s">
        <v>27</v>
      </c>
      <c r="N5" s="6">
        <v>0</v>
      </c>
      <c r="O5" s="6" t="s">
        <v>27</v>
      </c>
      <c r="P5" s="6">
        <v>0</v>
      </c>
    </row>
    <row r="6" spans="1:16" x14ac:dyDescent="0.25">
      <c r="A6" s="6" t="s">
        <v>28</v>
      </c>
      <c r="B6" s="6">
        <v>37</v>
      </c>
      <c r="C6" s="6" t="s">
        <v>28</v>
      </c>
      <c r="D6" s="6">
        <v>33</v>
      </c>
      <c r="E6" s="6" t="s">
        <v>28</v>
      </c>
      <c r="F6" s="6">
        <v>15</v>
      </c>
      <c r="G6" s="6" t="s">
        <v>28</v>
      </c>
      <c r="H6" s="6">
        <v>1</v>
      </c>
      <c r="I6" s="6" t="s">
        <v>28</v>
      </c>
      <c r="J6" s="6">
        <v>1</v>
      </c>
      <c r="K6" s="6" t="s">
        <v>28</v>
      </c>
      <c r="L6" s="6">
        <v>6</v>
      </c>
      <c r="M6" s="6" t="s">
        <v>28</v>
      </c>
      <c r="N6" s="6">
        <v>0</v>
      </c>
      <c r="O6" s="6" t="s">
        <v>28</v>
      </c>
      <c r="P6" s="6">
        <v>0</v>
      </c>
    </row>
    <row r="7" spans="1:16" x14ac:dyDescent="0.25">
      <c r="A7" s="6" t="s">
        <v>29</v>
      </c>
      <c r="B7" s="6">
        <v>23.680492272875458</v>
      </c>
      <c r="C7" s="6" t="s">
        <v>29</v>
      </c>
      <c r="D7" s="6">
        <v>9.0598914261188153</v>
      </c>
      <c r="E7" s="6" t="s">
        <v>29</v>
      </c>
      <c r="F7" s="6">
        <v>2.6896627510313826</v>
      </c>
      <c r="G7" s="6" t="s">
        <v>29</v>
      </c>
      <c r="H7" s="6">
        <v>0.46291004988627571</v>
      </c>
      <c r="I7" s="6" t="s">
        <v>29</v>
      </c>
      <c r="J7" s="6">
        <v>0.47121207149916117</v>
      </c>
      <c r="K7" s="6" t="s">
        <v>29</v>
      </c>
      <c r="L7" s="6">
        <v>5.8440969694004137</v>
      </c>
      <c r="M7" s="6" t="s">
        <v>29</v>
      </c>
      <c r="N7" s="6">
        <v>0.30304576336566325</v>
      </c>
      <c r="O7" s="6" t="s">
        <v>29</v>
      </c>
      <c r="P7" s="6">
        <v>0.38808793449160356</v>
      </c>
    </row>
    <row r="8" spans="1:16" x14ac:dyDescent="0.25">
      <c r="A8" s="6" t="s">
        <v>30</v>
      </c>
      <c r="B8" s="6">
        <v>560.76571428571435</v>
      </c>
      <c r="C8" s="6" t="s">
        <v>30</v>
      </c>
      <c r="D8" s="6">
        <v>82.08163265306122</v>
      </c>
      <c r="E8" s="6" t="s">
        <v>30</v>
      </c>
      <c r="F8" s="6">
        <v>7.2342857142857051</v>
      </c>
      <c r="G8" s="6" t="s">
        <v>30</v>
      </c>
      <c r="H8" s="6">
        <v>0.21428571428571427</v>
      </c>
      <c r="I8" s="6" t="s">
        <v>30</v>
      </c>
      <c r="J8" s="6">
        <v>0.22204081632653058</v>
      </c>
      <c r="K8" s="6" t="s">
        <v>30</v>
      </c>
      <c r="L8" s="6">
        <v>34.153469387755102</v>
      </c>
      <c r="M8" s="6" t="s">
        <v>30</v>
      </c>
      <c r="N8" s="6">
        <v>9.1836734693877556E-2</v>
      </c>
      <c r="O8" s="6" t="s">
        <v>30</v>
      </c>
      <c r="P8" s="6">
        <v>0.15061224489795919</v>
      </c>
    </row>
    <row r="9" spans="1:16" x14ac:dyDescent="0.25">
      <c r="A9" s="6" t="s">
        <v>31</v>
      </c>
      <c r="B9" s="6">
        <v>-0.5898250409097594</v>
      </c>
      <c r="C9" s="6" t="s">
        <v>31</v>
      </c>
      <c r="D9" s="6">
        <v>1.6218174309945361</v>
      </c>
      <c r="E9" s="6" t="s">
        <v>31</v>
      </c>
      <c r="F9" s="6">
        <v>-7.4061591143294248E-2</v>
      </c>
      <c r="G9" s="6" t="s">
        <v>31</v>
      </c>
      <c r="H9" s="6">
        <v>-1.241134751773048</v>
      </c>
      <c r="I9" s="6" t="s">
        <v>31</v>
      </c>
      <c r="J9" s="6">
        <v>-1.4253656914893613</v>
      </c>
      <c r="K9" s="6" t="s">
        <v>31</v>
      </c>
      <c r="L9" s="6">
        <v>3.2135182524958577</v>
      </c>
      <c r="M9" s="6" t="s">
        <v>31</v>
      </c>
      <c r="N9" s="6">
        <v>5.7919621749409096</v>
      </c>
      <c r="O9" s="6" t="s">
        <v>31</v>
      </c>
      <c r="P9" s="6">
        <v>0.98887159084357101</v>
      </c>
    </row>
    <row r="10" spans="1:16" x14ac:dyDescent="0.25">
      <c r="A10" s="6" t="s">
        <v>32</v>
      </c>
      <c r="B10" s="6">
        <v>0.34232064794106054</v>
      </c>
      <c r="C10" s="6" t="s">
        <v>32</v>
      </c>
      <c r="D10" s="6">
        <v>1.0319676833686999</v>
      </c>
      <c r="E10" s="6" t="s">
        <v>32</v>
      </c>
      <c r="F10" s="6">
        <v>-0.36056071694711267</v>
      </c>
      <c r="G10" s="6" t="s">
        <v>32</v>
      </c>
      <c r="H10" s="6">
        <v>-0.90010287477887041</v>
      </c>
      <c r="I10" s="6" t="s">
        <v>32</v>
      </c>
      <c r="J10" s="6">
        <v>-0.79582001965046789</v>
      </c>
      <c r="K10" s="6" t="s">
        <v>32</v>
      </c>
      <c r="L10" s="6">
        <v>1.4732408960767189</v>
      </c>
      <c r="M10" s="6" t="s">
        <v>32</v>
      </c>
      <c r="N10" s="6">
        <v>2.7498597046143547</v>
      </c>
      <c r="O10" s="6" t="s">
        <v>32</v>
      </c>
      <c r="P10" s="6">
        <v>1.7178237389420585</v>
      </c>
    </row>
    <row r="11" spans="1:16" x14ac:dyDescent="0.25">
      <c r="A11" s="6" t="s">
        <v>33</v>
      </c>
      <c r="B11" s="6">
        <v>94</v>
      </c>
      <c r="C11" s="6" t="s">
        <v>33</v>
      </c>
      <c r="D11" s="6">
        <v>42</v>
      </c>
      <c r="E11" s="6" t="s">
        <v>33</v>
      </c>
      <c r="F11" s="6">
        <v>12</v>
      </c>
      <c r="G11" s="6" t="s">
        <v>33</v>
      </c>
      <c r="H11" s="6">
        <v>1</v>
      </c>
      <c r="I11" s="6" t="s">
        <v>33</v>
      </c>
      <c r="J11" s="6">
        <v>1</v>
      </c>
      <c r="K11" s="6" t="s">
        <v>33</v>
      </c>
      <c r="L11" s="6">
        <v>29</v>
      </c>
      <c r="M11" s="6" t="s">
        <v>33</v>
      </c>
      <c r="N11" s="6">
        <v>1</v>
      </c>
      <c r="O11" s="6" t="s">
        <v>33</v>
      </c>
      <c r="P11" s="6">
        <v>1</v>
      </c>
    </row>
    <row r="12" spans="1:16" x14ac:dyDescent="0.25">
      <c r="A12" s="6" t="s">
        <v>34</v>
      </c>
      <c r="B12" s="6">
        <v>4</v>
      </c>
      <c r="C12" s="6" t="s">
        <v>34</v>
      </c>
      <c r="D12" s="6">
        <v>20</v>
      </c>
      <c r="E12" s="6" t="s">
        <v>34</v>
      </c>
      <c r="F12" s="6">
        <v>7</v>
      </c>
      <c r="G12" s="6" t="s">
        <v>34</v>
      </c>
      <c r="H12" s="6">
        <v>0</v>
      </c>
      <c r="I12" s="6" t="s">
        <v>34</v>
      </c>
      <c r="J12" s="6">
        <v>0</v>
      </c>
      <c r="K12" s="6" t="s">
        <v>34</v>
      </c>
      <c r="L12" s="6">
        <v>1</v>
      </c>
      <c r="M12" s="6" t="s">
        <v>34</v>
      </c>
      <c r="N12" s="6">
        <v>0</v>
      </c>
      <c r="O12" s="6" t="s">
        <v>34</v>
      </c>
      <c r="P12" s="6">
        <v>0</v>
      </c>
    </row>
    <row r="13" spans="1:16" x14ac:dyDescent="0.25">
      <c r="A13" s="6" t="s">
        <v>35</v>
      </c>
      <c r="B13" s="6">
        <v>98</v>
      </c>
      <c r="C13" s="6" t="s">
        <v>35</v>
      </c>
      <c r="D13" s="6">
        <v>62</v>
      </c>
      <c r="E13" s="6" t="s">
        <v>35</v>
      </c>
      <c r="F13" s="6">
        <v>19</v>
      </c>
      <c r="G13" s="6" t="s">
        <v>35</v>
      </c>
      <c r="H13" s="6">
        <v>1</v>
      </c>
      <c r="I13" s="6" t="s">
        <v>35</v>
      </c>
      <c r="J13" s="6">
        <v>1</v>
      </c>
      <c r="K13" s="6" t="s">
        <v>35</v>
      </c>
      <c r="L13" s="6">
        <v>30</v>
      </c>
      <c r="M13" s="6" t="s">
        <v>35</v>
      </c>
      <c r="N13" s="6">
        <v>1</v>
      </c>
      <c r="O13" s="6" t="s">
        <v>35</v>
      </c>
      <c r="P13" s="6">
        <v>1</v>
      </c>
    </row>
    <row r="14" spans="1:16" x14ac:dyDescent="0.25">
      <c r="A14" s="6" t="s">
        <v>36</v>
      </c>
      <c r="B14" s="6">
        <v>2168</v>
      </c>
      <c r="C14" s="6" t="s">
        <v>36</v>
      </c>
      <c r="D14" s="6">
        <v>1730</v>
      </c>
      <c r="E14" s="6" t="s">
        <v>36</v>
      </c>
      <c r="F14" s="6">
        <v>676</v>
      </c>
      <c r="G14" s="6" t="s">
        <v>36</v>
      </c>
      <c r="H14" s="6">
        <v>35</v>
      </c>
      <c r="I14" s="6" t="s">
        <v>36</v>
      </c>
      <c r="J14" s="6">
        <v>34</v>
      </c>
      <c r="K14" s="6" t="s">
        <v>36</v>
      </c>
      <c r="L14" s="6">
        <v>418</v>
      </c>
      <c r="M14" s="6" t="s">
        <v>36</v>
      </c>
      <c r="N14" s="6">
        <v>5</v>
      </c>
      <c r="O14" s="6" t="s">
        <v>36</v>
      </c>
      <c r="P14" s="6">
        <v>9</v>
      </c>
    </row>
    <row r="15" spans="1:16" ht="15.75" thickBot="1" x14ac:dyDescent="0.3">
      <c r="A15" s="7" t="s">
        <v>37</v>
      </c>
      <c r="B15" s="7">
        <v>50</v>
      </c>
      <c r="C15" s="7" t="s">
        <v>37</v>
      </c>
      <c r="D15" s="7">
        <v>50</v>
      </c>
      <c r="E15" s="7" t="s">
        <v>37</v>
      </c>
      <c r="F15" s="7">
        <v>50</v>
      </c>
      <c r="G15" s="7" t="s">
        <v>37</v>
      </c>
      <c r="H15" s="7">
        <v>50</v>
      </c>
      <c r="I15" s="7" t="s">
        <v>37</v>
      </c>
      <c r="J15" s="7">
        <v>50</v>
      </c>
      <c r="K15" s="7" t="s">
        <v>37</v>
      </c>
      <c r="L15" s="7">
        <v>50</v>
      </c>
      <c r="M15" s="7" t="s">
        <v>37</v>
      </c>
      <c r="N15" s="7">
        <v>50</v>
      </c>
      <c r="O15" s="7" t="s">
        <v>37</v>
      </c>
      <c r="P15" s="7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K7" sqref="K7"/>
    </sheetView>
  </sheetViews>
  <sheetFormatPr baseColWidth="10" defaultRowHeight="15" x14ac:dyDescent="0.25"/>
  <sheetData>
    <row r="1" spans="1:2" x14ac:dyDescent="0.25">
      <c r="A1" s="8" t="s">
        <v>55</v>
      </c>
      <c r="B1" s="8" t="s">
        <v>57</v>
      </c>
    </row>
    <row r="2" spans="1:2" x14ac:dyDescent="0.25">
      <c r="A2" s="10">
        <v>15</v>
      </c>
      <c r="B2" s="6">
        <v>7</v>
      </c>
    </row>
    <row r="3" spans="1:2" x14ac:dyDescent="0.25">
      <c r="A3" s="10">
        <v>30</v>
      </c>
      <c r="B3" s="6">
        <v>10</v>
      </c>
    </row>
    <row r="4" spans="1:2" x14ac:dyDescent="0.25">
      <c r="A4" s="10">
        <v>45</v>
      </c>
      <c r="B4" s="6">
        <v>11</v>
      </c>
    </row>
    <row r="5" spans="1:2" x14ac:dyDescent="0.25">
      <c r="A5" s="10">
        <v>60</v>
      </c>
      <c r="B5" s="6">
        <v>9</v>
      </c>
    </row>
    <row r="6" spans="1:2" x14ac:dyDescent="0.25">
      <c r="A6" s="10">
        <v>75</v>
      </c>
      <c r="B6" s="6">
        <v>8</v>
      </c>
    </row>
    <row r="7" spans="1:2" x14ac:dyDescent="0.25">
      <c r="A7" s="10">
        <v>90</v>
      </c>
      <c r="B7" s="6">
        <v>3</v>
      </c>
    </row>
    <row r="8" spans="1:2" x14ac:dyDescent="0.25">
      <c r="A8" s="10">
        <v>105</v>
      </c>
      <c r="B8" s="6">
        <v>2</v>
      </c>
    </row>
    <row r="9" spans="1:2" ht="15.75" thickBot="1" x14ac:dyDescent="0.3">
      <c r="A9" s="7" t="s">
        <v>56</v>
      </c>
      <c r="B9" s="7">
        <v>0</v>
      </c>
    </row>
  </sheetData>
  <sortState ref="A2:A8">
    <sortCondition ref="A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C15" sqref="C15"/>
    </sheetView>
  </sheetViews>
  <sheetFormatPr baseColWidth="10" defaultRowHeight="15" x14ac:dyDescent="0.25"/>
  <cols>
    <col min="1" max="1" width="32.42578125" customWidth="1"/>
    <col min="2" max="2" width="12.7109375" customWidth="1"/>
  </cols>
  <sheetData>
    <row r="1" spans="1:2" x14ac:dyDescent="0.25">
      <c r="A1" s="11" t="s">
        <v>17</v>
      </c>
      <c r="B1" s="11"/>
    </row>
    <row r="2" spans="1:2" x14ac:dyDescent="0.25">
      <c r="A2" s="6"/>
      <c r="B2" s="6"/>
    </row>
    <row r="3" spans="1:2" x14ac:dyDescent="0.25">
      <c r="A3" s="6" t="s">
        <v>25</v>
      </c>
      <c r="B3" s="6">
        <v>43.36</v>
      </c>
    </row>
    <row r="4" spans="1:2" x14ac:dyDescent="0.25">
      <c r="A4" s="6" t="s">
        <v>26</v>
      </c>
      <c r="B4" s="6">
        <v>3.348927333597175</v>
      </c>
    </row>
    <row r="5" spans="1:2" x14ac:dyDescent="0.25">
      <c r="A5" s="6" t="s">
        <v>27</v>
      </c>
      <c r="B5" s="6">
        <v>39.5</v>
      </c>
    </row>
    <row r="6" spans="1:2" x14ac:dyDescent="0.25">
      <c r="A6" s="6" t="s">
        <v>28</v>
      </c>
      <c r="B6" s="6">
        <v>37</v>
      </c>
    </row>
    <row r="7" spans="1:2" x14ac:dyDescent="0.25">
      <c r="A7" s="6" t="s">
        <v>29</v>
      </c>
      <c r="B7" s="6">
        <v>23.680492272875458</v>
      </c>
    </row>
    <row r="8" spans="1:2" x14ac:dyDescent="0.25">
      <c r="A8" s="6" t="s">
        <v>30</v>
      </c>
      <c r="B8" s="6">
        <v>560.76571428571435</v>
      </c>
    </row>
    <row r="9" spans="1:2" x14ac:dyDescent="0.25">
      <c r="A9" s="6" t="s">
        <v>31</v>
      </c>
      <c r="B9" s="6">
        <v>-0.5898250409097594</v>
      </c>
    </row>
    <row r="10" spans="1:2" x14ac:dyDescent="0.25">
      <c r="A10" s="6" t="s">
        <v>32</v>
      </c>
      <c r="B10" s="6">
        <v>0.34232064794106054</v>
      </c>
    </row>
    <row r="11" spans="1:2" x14ac:dyDescent="0.25">
      <c r="A11" s="6" t="s">
        <v>33</v>
      </c>
      <c r="B11" s="6">
        <v>94</v>
      </c>
    </row>
    <row r="12" spans="1:2" x14ac:dyDescent="0.25">
      <c r="A12" s="6" t="s">
        <v>34</v>
      </c>
      <c r="B12" s="6">
        <v>4</v>
      </c>
    </row>
    <row r="13" spans="1:2" x14ac:dyDescent="0.25">
      <c r="A13" s="6" t="s">
        <v>35</v>
      </c>
      <c r="B13" s="6">
        <v>98</v>
      </c>
    </row>
    <row r="14" spans="1:2" x14ac:dyDescent="0.25">
      <c r="A14" s="6" t="s">
        <v>36</v>
      </c>
      <c r="B14" s="6">
        <v>2168</v>
      </c>
    </row>
    <row r="15" spans="1:2" ht="15.75" thickBot="1" x14ac:dyDescent="0.3">
      <c r="A15" s="7" t="s">
        <v>37</v>
      </c>
      <c r="B15" s="7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baseColWidth="10" defaultRowHeight="15" x14ac:dyDescent="0.25"/>
  <sheetData>
    <row r="1" spans="1:2" x14ac:dyDescent="0.25">
      <c r="A1" s="11" t="s">
        <v>17</v>
      </c>
      <c r="B1" s="11"/>
    </row>
    <row r="2" spans="1:2" x14ac:dyDescent="0.25">
      <c r="A2" s="6"/>
      <c r="B2" s="6"/>
    </row>
    <row r="3" spans="1:2" x14ac:dyDescent="0.25">
      <c r="A3" s="6" t="s">
        <v>25</v>
      </c>
      <c r="B3" s="6">
        <v>34.6</v>
      </c>
    </row>
    <row r="4" spans="1:2" x14ac:dyDescent="0.25">
      <c r="A4" s="6" t="s">
        <v>26</v>
      </c>
      <c r="B4" s="6">
        <v>1.2812621328444951</v>
      </c>
    </row>
    <row r="5" spans="1:2" x14ac:dyDescent="0.25">
      <c r="A5" s="6" t="s">
        <v>27</v>
      </c>
      <c r="B5" s="6">
        <v>33</v>
      </c>
    </row>
    <row r="6" spans="1:2" x14ac:dyDescent="0.25">
      <c r="A6" s="6" t="s">
        <v>28</v>
      </c>
      <c r="B6" s="6">
        <v>33</v>
      </c>
    </row>
    <row r="7" spans="1:2" x14ac:dyDescent="0.25">
      <c r="A7" s="6" t="s">
        <v>29</v>
      </c>
      <c r="B7" s="6">
        <v>9.0598914261188153</v>
      </c>
    </row>
    <row r="8" spans="1:2" x14ac:dyDescent="0.25">
      <c r="A8" s="6" t="s">
        <v>30</v>
      </c>
      <c r="B8" s="6">
        <v>82.08163265306122</v>
      </c>
    </row>
    <row r="9" spans="1:2" x14ac:dyDescent="0.25">
      <c r="A9" s="6" t="s">
        <v>31</v>
      </c>
      <c r="B9" s="6">
        <v>1.6218174309945361</v>
      </c>
    </row>
    <row r="10" spans="1:2" x14ac:dyDescent="0.25">
      <c r="A10" s="6" t="s">
        <v>32</v>
      </c>
      <c r="B10" s="6">
        <v>1.0319676833686999</v>
      </c>
    </row>
    <row r="11" spans="1:2" x14ac:dyDescent="0.25">
      <c r="A11" s="6" t="s">
        <v>33</v>
      </c>
      <c r="B11" s="6">
        <v>42</v>
      </c>
    </row>
    <row r="12" spans="1:2" x14ac:dyDescent="0.25">
      <c r="A12" s="6" t="s">
        <v>34</v>
      </c>
      <c r="B12" s="6">
        <v>20</v>
      </c>
    </row>
    <row r="13" spans="1:2" x14ac:dyDescent="0.25">
      <c r="A13" s="6" t="s">
        <v>35</v>
      </c>
      <c r="B13" s="6">
        <v>62</v>
      </c>
    </row>
    <row r="14" spans="1:2" x14ac:dyDescent="0.25">
      <c r="A14" s="6" t="s">
        <v>36</v>
      </c>
      <c r="B14" s="6">
        <v>1730</v>
      </c>
    </row>
    <row r="15" spans="1:2" ht="15.75" thickBot="1" x14ac:dyDescent="0.3">
      <c r="A15" s="7" t="s">
        <v>37</v>
      </c>
      <c r="B15" s="7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G22" sqref="G22"/>
    </sheetView>
  </sheetViews>
  <sheetFormatPr baseColWidth="10" defaultRowHeight="15" x14ac:dyDescent="0.25"/>
  <cols>
    <col min="1" max="1" width="26" customWidth="1"/>
    <col min="2" max="2" width="20.28515625" customWidth="1"/>
  </cols>
  <sheetData>
    <row r="1" spans="1:2" x14ac:dyDescent="0.25">
      <c r="A1" s="11" t="s">
        <v>17</v>
      </c>
      <c r="B1" s="11"/>
    </row>
    <row r="2" spans="1:2" x14ac:dyDescent="0.25">
      <c r="A2" s="6"/>
      <c r="B2" s="6"/>
    </row>
    <row r="3" spans="1:2" x14ac:dyDescent="0.25">
      <c r="A3" s="6" t="s">
        <v>25</v>
      </c>
      <c r="B3" s="6">
        <v>8.36</v>
      </c>
    </row>
    <row r="4" spans="1:2" x14ac:dyDescent="0.25">
      <c r="A4" s="6" t="s">
        <v>26</v>
      </c>
      <c r="B4" s="6">
        <v>0.82648011939495669</v>
      </c>
    </row>
    <row r="5" spans="1:2" x14ac:dyDescent="0.25">
      <c r="A5" s="6" t="s">
        <v>27</v>
      </c>
      <c r="B5" s="6">
        <v>8</v>
      </c>
    </row>
    <row r="6" spans="1:2" x14ac:dyDescent="0.25">
      <c r="A6" s="6" t="s">
        <v>28</v>
      </c>
      <c r="B6" s="6">
        <v>6</v>
      </c>
    </row>
    <row r="7" spans="1:2" x14ac:dyDescent="0.25">
      <c r="A7" s="6" t="s">
        <v>29</v>
      </c>
      <c r="B7" s="6">
        <v>5.8440969694004137</v>
      </c>
    </row>
    <row r="8" spans="1:2" x14ac:dyDescent="0.25">
      <c r="A8" s="6" t="s">
        <v>30</v>
      </c>
      <c r="B8" s="6">
        <v>34.153469387755102</v>
      </c>
    </row>
    <row r="9" spans="1:2" x14ac:dyDescent="0.25">
      <c r="A9" s="6" t="s">
        <v>31</v>
      </c>
      <c r="B9" s="6">
        <v>3.2135182524958577</v>
      </c>
    </row>
    <row r="10" spans="1:2" x14ac:dyDescent="0.25">
      <c r="A10" s="6" t="s">
        <v>32</v>
      </c>
      <c r="B10" s="6">
        <v>1.4732408960767189</v>
      </c>
    </row>
    <row r="11" spans="1:2" x14ac:dyDescent="0.25">
      <c r="A11" s="6" t="s">
        <v>33</v>
      </c>
      <c r="B11" s="6">
        <v>29</v>
      </c>
    </row>
    <row r="12" spans="1:2" x14ac:dyDescent="0.25">
      <c r="A12" s="6" t="s">
        <v>34</v>
      </c>
      <c r="B12" s="6">
        <v>1</v>
      </c>
    </row>
    <row r="13" spans="1:2" x14ac:dyDescent="0.25">
      <c r="A13" s="6" t="s">
        <v>35</v>
      </c>
      <c r="B13" s="6">
        <v>30</v>
      </c>
    </row>
    <row r="14" spans="1:2" x14ac:dyDescent="0.25">
      <c r="A14" s="6" t="s">
        <v>36</v>
      </c>
      <c r="B14" s="6">
        <v>418</v>
      </c>
    </row>
    <row r="15" spans="1:2" ht="15.75" thickBot="1" x14ac:dyDescent="0.3">
      <c r="A15" s="7" t="s">
        <v>37</v>
      </c>
      <c r="B15" s="7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="85" zoomScaleNormal="85" workbookViewId="0">
      <selection activeCell="D5" sqref="D5"/>
    </sheetView>
  </sheetViews>
  <sheetFormatPr baseColWidth="10" defaultRowHeight="15" x14ac:dyDescent="0.25"/>
  <cols>
    <col min="8" max="8" width="12.85546875" bestFit="1" customWidth="1"/>
    <col min="9" max="9" width="7.42578125" bestFit="1" customWidth="1"/>
    <col min="13" max="13" width="12.28515625" bestFit="1" customWidth="1"/>
    <col min="18" max="18" width="13.5703125" bestFit="1" customWidth="1"/>
  </cols>
  <sheetData>
    <row r="1" spans="1:13" x14ac:dyDescent="0.25">
      <c r="F1" t="s">
        <v>0</v>
      </c>
      <c r="G1" t="s">
        <v>1</v>
      </c>
    </row>
    <row r="2" spans="1:13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10</v>
      </c>
      <c r="G2" t="s">
        <v>9</v>
      </c>
      <c r="H2" t="s">
        <v>8</v>
      </c>
      <c r="I2" t="s">
        <v>7</v>
      </c>
      <c r="K2" t="s">
        <v>58</v>
      </c>
      <c r="M2" t="s">
        <v>59</v>
      </c>
    </row>
    <row r="3" spans="1:13" x14ac:dyDescent="0.25">
      <c r="A3">
        <v>1</v>
      </c>
      <c r="B3">
        <v>37</v>
      </c>
      <c r="C3">
        <v>30</v>
      </c>
      <c r="D3">
        <v>14</v>
      </c>
      <c r="E3">
        <v>1</v>
      </c>
      <c r="F3">
        <v>1</v>
      </c>
      <c r="G3">
        <v>1</v>
      </c>
      <c r="H3">
        <v>0</v>
      </c>
      <c r="I3">
        <v>0</v>
      </c>
      <c r="K3">
        <v>15</v>
      </c>
      <c r="M3">
        <v>6</v>
      </c>
    </row>
    <row r="4" spans="1:13" x14ac:dyDescent="0.25">
      <c r="A4">
        <v>2</v>
      </c>
      <c r="B4">
        <v>62</v>
      </c>
      <c r="C4">
        <v>27</v>
      </c>
      <c r="D4">
        <v>14</v>
      </c>
      <c r="E4">
        <v>1</v>
      </c>
      <c r="F4">
        <v>0</v>
      </c>
      <c r="G4">
        <v>6</v>
      </c>
      <c r="H4">
        <v>0</v>
      </c>
      <c r="I4">
        <v>0</v>
      </c>
      <c r="K4">
        <v>30</v>
      </c>
      <c r="M4">
        <v>12</v>
      </c>
    </row>
    <row r="5" spans="1:13" x14ac:dyDescent="0.25">
      <c r="A5">
        <v>3</v>
      </c>
      <c r="B5">
        <v>49</v>
      </c>
      <c r="C5">
        <v>32</v>
      </c>
      <c r="D5">
        <v>10</v>
      </c>
      <c r="E5">
        <v>0</v>
      </c>
      <c r="F5">
        <v>1</v>
      </c>
      <c r="G5">
        <v>11</v>
      </c>
      <c r="H5">
        <v>0</v>
      </c>
      <c r="I5">
        <v>0</v>
      </c>
      <c r="K5">
        <v>45</v>
      </c>
      <c r="M5">
        <v>18</v>
      </c>
    </row>
    <row r="6" spans="1:13" x14ac:dyDescent="0.25">
      <c r="A6">
        <v>4</v>
      </c>
      <c r="B6">
        <v>73</v>
      </c>
      <c r="C6">
        <v>44</v>
      </c>
      <c r="D6">
        <v>11</v>
      </c>
      <c r="E6">
        <v>1</v>
      </c>
      <c r="F6">
        <v>0</v>
      </c>
      <c r="G6">
        <v>2</v>
      </c>
      <c r="H6">
        <v>0</v>
      </c>
      <c r="I6">
        <v>0</v>
      </c>
      <c r="K6">
        <v>60</v>
      </c>
      <c r="M6">
        <v>24</v>
      </c>
    </row>
    <row r="7" spans="1:13" x14ac:dyDescent="0.25">
      <c r="A7">
        <v>5</v>
      </c>
      <c r="B7">
        <v>8</v>
      </c>
      <c r="C7">
        <v>21</v>
      </c>
      <c r="D7">
        <v>14</v>
      </c>
      <c r="E7">
        <v>1</v>
      </c>
      <c r="F7">
        <v>1</v>
      </c>
      <c r="G7">
        <v>2</v>
      </c>
      <c r="H7">
        <v>0</v>
      </c>
      <c r="I7">
        <v>0</v>
      </c>
      <c r="K7">
        <v>75</v>
      </c>
      <c r="M7">
        <v>30</v>
      </c>
    </row>
    <row r="8" spans="1:13" x14ac:dyDescent="0.25">
      <c r="A8">
        <v>6</v>
      </c>
      <c r="B8">
        <v>15</v>
      </c>
      <c r="C8">
        <v>26</v>
      </c>
      <c r="D8">
        <v>13</v>
      </c>
      <c r="E8">
        <v>1</v>
      </c>
      <c r="F8">
        <v>0</v>
      </c>
      <c r="G8">
        <v>7</v>
      </c>
      <c r="H8">
        <v>1</v>
      </c>
      <c r="I8">
        <v>0</v>
      </c>
      <c r="K8">
        <v>90</v>
      </c>
      <c r="M8">
        <v>36</v>
      </c>
    </row>
    <row r="9" spans="1:13" x14ac:dyDescent="0.25">
      <c r="A9">
        <v>7</v>
      </c>
      <c r="B9">
        <v>52</v>
      </c>
      <c r="C9">
        <v>26</v>
      </c>
      <c r="D9">
        <v>15</v>
      </c>
      <c r="E9">
        <v>1</v>
      </c>
      <c r="F9">
        <v>0</v>
      </c>
      <c r="G9">
        <v>6</v>
      </c>
      <c r="H9">
        <v>0</v>
      </c>
      <c r="I9">
        <v>0</v>
      </c>
      <c r="K9">
        <v>105</v>
      </c>
      <c r="M9">
        <v>42</v>
      </c>
    </row>
    <row r="10" spans="1:13" x14ac:dyDescent="0.25">
      <c r="A10">
        <v>8</v>
      </c>
      <c r="B10">
        <v>72</v>
      </c>
      <c r="C10">
        <v>33</v>
      </c>
      <c r="D10">
        <v>13</v>
      </c>
      <c r="E10">
        <v>0</v>
      </c>
      <c r="F10">
        <v>1</v>
      </c>
      <c r="G10">
        <v>6</v>
      </c>
      <c r="H10">
        <v>0</v>
      </c>
      <c r="I10">
        <v>0</v>
      </c>
    </row>
    <row r="11" spans="1:13" x14ac:dyDescent="0.25">
      <c r="A11">
        <v>9</v>
      </c>
      <c r="B11">
        <v>11</v>
      </c>
      <c r="C11">
        <v>27</v>
      </c>
      <c r="D11">
        <v>12</v>
      </c>
      <c r="E11">
        <v>1</v>
      </c>
      <c r="F11">
        <v>1</v>
      </c>
      <c r="G11">
        <v>8</v>
      </c>
      <c r="H11">
        <v>0</v>
      </c>
      <c r="I11">
        <v>0</v>
      </c>
    </row>
    <row r="12" spans="1:13" x14ac:dyDescent="0.25">
      <c r="A12">
        <v>10</v>
      </c>
      <c r="B12">
        <v>13</v>
      </c>
      <c r="C12">
        <v>33</v>
      </c>
      <c r="D12">
        <v>12</v>
      </c>
      <c r="E12">
        <v>0</v>
      </c>
      <c r="F12">
        <v>1</v>
      </c>
      <c r="G12">
        <v>2</v>
      </c>
      <c r="H12">
        <v>0</v>
      </c>
      <c r="I12">
        <v>0</v>
      </c>
    </row>
    <row r="13" spans="1:13" x14ac:dyDescent="0.25">
      <c r="A13">
        <v>11</v>
      </c>
      <c r="B13">
        <v>39</v>
      </c>
      <c r="C13">
        <v>20</v>
      </c>
      <c r="D13">
        <v>11</v>
      </c>
      <c r="E13">
        <v>1</v>
      </c>
      <c r="F13">
        <v>0</v>
      </c>
      <c r="G13">
        <v>1</v>
      </c>
      <c r="H13">
        <v>0</v>
      </c>
      <c r="I13">
        <v>0</v>
      </c>
    </row>
    <row r="14" spans="1:13" x14ac:dyDescent="0.25">
      <c r="A14">
        <v>12</v>
      </c>
      <c r="B14">
        <v>59</v>
      </c>
      <c r="C14">
        <v>35</v>
      </c>
      <c r="D14">
        <v>7</v>
      </c>
      <c r="E14">
        <v>1</v>
      </c>
      <c r="F14">
        <v>1</v>
      </c>
      <c r="G14">
        <v>6</v>
      </c>
      <c r="H14">
        <v>0</v>
      </c>
      <c r="I14">
        <v>0</v>
      </c>
    </row>
    <row r="15" spans="1:13" x14ac:dyDescent="0.25">
      <c r="A15">
        <v>13</v>
      </c>
      <c r="B15">
        <v>39</v>
      </c>
      <c r="C15">
        <v>36</v>
      </c>
      <c r="D15">
        <v>17</v>
      </c>
      <c r="E15">
        <v>0</v>
      </c>
      <c r="F15">
        <v>1</v>
      </c>
      <c r="G15">
        <v>9</v>
      </c>
      <c r="H15">
        <v>1</v>
      </c>
      <c r="I15">
        <v>0</v>
      </c>
    </row>
    <row r="16" spans="1:13" x14ac:dyDescent="0.25">
      <c r="A16">
        <v>14</v>
      </c>
      <c r="B16">
        <v>44</v>
      </c>
      <c r="C16">
        <v>26</v>
      </c>
      <c r="D16">
        <v>12</v>
      </c>
      <c r="E16">
        <v>1</v>
      </c>
      <c r="F16">
        <v>1</v>
      </c>
      <c r="G16">
        <v>8</v>
      </c>
      <c r="H16">
        <v>0</v>
      </c>
      <c r="I16">
        <v>0</v>
      </c>
    </row>
    <row r="17" spans="1:9" x14ac:dyDescent="0.25">
      <c r="A17">
        <v>15</v>
      </c>
      <c r="B17">
        <v>56</v>
      </c>
      <c r="C17">
        <v>36</v>
      </c>
      <c r="D17">
        <v>15</v>
      </c>
      <c r="E17">
        <v>0</v>
      </c>
      <c r="F17">
        <v>1</v>
      </c>
      <c r="G17">
        <v>8</v>
      </c>
      <c r="H17">
        <v>0</v>
      </c>
      <c r="I17">
        <v>0</v>
      </c>
    </row>
    <row r="18" spans="1:9" x14ac:dyDescent="0.25">
      <c r="A18">
        <v>16</v>
      </c>
      <c r="B18">
        <v>31</v>
      </c>
      <c r="C18">
        <v>38</v>
      </c>
      <c r="D18">
        <v>16</v>
      </c>
      <c r="E18">
        <v>1</v>
      </c>
      <c r="F18">
        <v>1</v>
      </c>
      <c r="G18">
        <v>11</v>
      </c>
      <c r="H18">
        <v>0</v>
      </c>
      <c r="I18">
        <v>1</v>
      </c>
    </row>
    <row r="19" spans="1:9" x14ac:dyDescent="0.25">
      <c r="A19">
        <v>17</v>
      </c>
      <c r="B19">
        <v>62</v>
      </c>
      <c r="C19">
        <v>34</v>
      </c>
      <c r="D19">
        <v>13</v>
      </c>
      <c r="E19">
        <v>0</v>
      </c>
      <c r="F19">
        <v>1</v>
      </c>
      <c r="G19">
        <v>13</v>
      </c>
      <c r="H19">
        <v>0</v>
      </c>
      <c r="I19">
        <v>0</v>
      </c>
    </row>
    <row r="20" spans="1:9" x14ac:dyDescent="0.25">
      <c r="A20">
        <v>18</v>
      </c>
      <c r="B20">
        <v>25</v>
      </c>
      <c r="C20">
        <v>27</v>
      </c>
      <c r="D20">
        <v>19</v>
      </c>
      <c r="E20">
        <v>1</v>
      </c>
      <c r="F20">
        <v>0</v>
      </c>
      <c r="G20">
        <v>8</v>
      </c>
      <c r="H20">
        <v>0</v>
      </c>
      <c r="I20">
        <v>0</v>
      </c>
    </row>
    <row r="21" spans="1:9" x14ac:dyDescent="0.25">
      <c r="A21">
        <v>19</v>
      </c>
      <c r="B21">
        <v>72</v>
      </c>
      <c r="C21">
        <v>44</v>
      </c>
      <c r="D21">
        <v>13</v>
      </c>
      <c r="E21">
        <v>1</v>
      </c>
      <c r="F21">
        <v>0</v>
      </c>
      <c r="G21">
        <v>22</v>
      </c>
      <c r="H21">
        <v>0</v>
      </c>
      <c r="I21">
        <v>0</v>
      </c>
    </row>
    <row r="22" spans="1:9" x14ac:dyDescent="0.25">
      <c r="A22">
        <v>20</v>
      </c>
      <c r="B22">
        <v>65</v>
      </c>
      <c r="C22">
        <v>45</v>
      </c>
      <c r="D22">
        <v>15</v>
      </c>
      <c r="E22">
        <v>1</v>
      </c>
      <c r="F22">
        <v>1</v>
      </c>
      <c r="G22">
        <v>6</v>
      </c>
      <c r="H22">
        <v>0</v>
      </c>
      <c r="I22">
        <v>0</v>
      </c>
    </row>
    <row r="23" spans="1:9" x14ac:dyDescent="0.25">
      <c r="A23">
        <v>21</v>
      </c>
      <c r="B23">
        <v>44</v>
      </c>
      <c r="C23">
        <v>28</v>
      </c>
      <c r="D23">
        <v>17</v>
      </c>
      <c r="E23">
        <v>0</v>
      </c>
      <c r="F23">
        <v>1</v>
      </c>
      <c r="G23">
        <v>3</v>
      </c>
      <c r="H23">
        <v>0</v>
      </c>
      <c r="I23">
        <v>1</v>
      </c>
    </row>
    <row r="24" spans="1:9" x14ac:dyDescent="0.25">
      <c r="A24">
        <v>22</v>
      </c>
      <c r="B24">
        <v>49</v>
      </c>
      <c r="C24">
        <v>25</v>
      </c>
      <c r="D24">
        <v>10</v>
      </c>
      <c r="E24">
        <v>1</v>
      </c>
      <c r="F24">
        <v>1</v>
      </c>
      <c r="G24">
        <v>1</v>
      </c>
      <c r="H24">
        <v>0</v>
      </c>
      <c r="I24">
        <v>0</v>
      </c>
    </row>
    <row r="25" spans="1:9" x14ac:dyDescent="0.25">
      <c r="A25">
        <v>23</v>
      </c>
      <c r="B25">
        <v>80</v>
      </c>
      <c r="C25">
        <v>31</v>
      </c>
      <c r="D25">
        <v>15</v>
      </c>
      <c r="E25">
        <v>1</v>
      </c>
      <c r="F25">
        <v>0</v>
      </c>
      <c r="G25">
        <v>12</v>
      </c>
      <c r="H25">
        <v>0</v>
      </c>
      <c r="I25">
        <v>0</v>
      </c>
    </row>
    <row r="26" spans="1:9" x14ac:dyDescent="0.25">
      <c r="A26">
        <v>24</v>
      </c>
      <c r="B26">
        <v>7</v>
      </c>
      <c r="C26">
        <v>23</v>
      </c>
      <c r="D26">
        <v>15</v>
      </c>
      <c r="E26">
        <v>1</v>
      </c>
      <c r="F26">
        <v>0</v>
      </c>
      <c r="G26">
        <v>2</v>
      </c>
      <c r="H26">
        <v>0</v>
      </c>
      <c r="I26">
        <v>0</v>
      </c>
    </row>
    <row r="27" spans="1:9" x14ac:dyDescent="0.25">
      <c r="A27">
        <v>25</v>
      </c>
      <c r="B27">
        <v>14</v>
      </c>
      <c r="C27">
        <v>24</v>
      </c>
      <c r="D27">
        <v>13</v>
      </c>
      <c r="E27">
        <v>1</v>
      </c>
      <c r="F27">
        <v>1</v>
      </c>
      <c r="G27">
        <v>7</v>
      </c>
      <c r="H27">
        <v>0</v>
      </c>
      <c r="I27">
        <v>0</v>
      </c>
    </row>
    <row r="28" spans="1:9" x14ac:dyDescent="0.25">
      <c r="A28">
        <v>26</v>
      </c>
      <c r="B28">
        <v>94</v>
      </c>
      <c r="C28">
        <v>62</v>
      </c>
      <c r="D28">
        <v>13</v>
      </c>
      <c r="E28">
        <v>0</v>
      </c>
      <c r="F28">
        <v>1</v>
      </c>
      <c r="G28">
        <v>8</v>
      </c>
      <c r="H28">
        <v>0</v>
      </c>
      <c r="I28">
        <v>0</v>
      </c>
    </row>
    <row r="29" spans="1:9" x14ac:dyDescent="0.25">
      <c r="A29">
        <v>27</v>
      </c>
      <c r="B29">
        <v>48</v>
      </c>
      <c r="C29">
        <v>31</v>
      </c>
      <c r="D29">
        <v>16</v>
      </c>
      <c r="E29">
        <v>1</v>
      </c>
      <c r="F29">
        <v>0</v>
      </c>
      <c r="G29">
        <v>11</v>
      </c>
      <c r="H29">
        <v>0</v>
      </c>
      <c r="I29">
        <v>0</v>
      </c>
    </row>
    <row r="30" spans="1:9" x14ac:dyDescent="0.25">
      <c r="A30">
        <v>28</v>
      </c>
      <c r="B30">
        <v>82</v>
      </c>
      <c r="C30">
        <v>48</v>
      </c>
      <c r="D30">
        <v>18</v>
      </c>
      <c r="E30">
        <v>0</v>
      </c>
      <c r="F30">
        <v>1</v>
      </c>
      <c r="G30">
        <v>30</v>
      </c>
      <c r="H30">
        <v>0</v>
      </c>
      <c r="I30">
        <v>0</v>
      </c>
    </row>
    <row r="31" spans="1:9" x14ac:dyDescent="0.25">
      <c r="A31">
        <v>29</v>
      </c>
      <c r="B31">
        <v>50</v>
      </c>
      <c r="C31">
        <v>35</v>
      </c>
      <c r="D31">
        <v>18</v>
      </c>
      <c r="E31">
        <v>1</v>
      </c>
      <c r="F31">
        <v>1</v>
      </c>
      <c r="G31">
        <v>5</v>
      </c>
      <c r="H31">
        <v>0</v>
      </c>
      <c r="I31">
        <v>0</v>
      </c>
    </row>
    <row r="32" spans="1:9" x14ac:dyDescent="0.25">
      <c r="A32">
        <v>30</v>
      </c>
      <c r="B32">
        <v>37</v>
      </c>
      <c r="C32">
        <v>33</v>
      </c>
      <c r="D32">
        <v>14</v>
      </c>
      <c r="E32">
        <v>0</v>
      </c>
      <c r="F32">
        <v>1</v>
      </c>
      <c r="G32">
        <v>6</v>
      </c>
      <c r="H32">
        <v>0</v>
      </c>
      <c r="I32">
        <v>1</v>
      </c>
    </row>
    <row r="33" spans="1:9" x14ac:dyDescent="0.25">
      <c r="A33">
        <v>31</v>
      </c>
      <c r="B33">
        <v>62</v>
      </c>
      <c r="C33">
        <v>46</v>
      </c>
      <c r="D33">
        <v>15</v>
      </c>
      <c r="E33">
        <v>0</v>
      </c>
      <c r="F33">
        <v>1</v>
      </c>
      <c r="G33">
        <v>6</v>
      </c>
      <c r="H33">
        <v>0</v>
      </c>
      <c r="I33">
        <v>0</v>
      </c>
    </row>
    <row r="34" spans="1:9" x14ac:dyDescent="0.25">
      <c r="A34">
        <v>32</v>
      </c>
      <c r="B34">
        <v>37</v>
      </c>
      <c r="C34">
        <v>35</v>
      </c>
      <c r="D34">
        <v>8</v>
      </c>
      <c r="E34">
        <v>0</v>
      </c>
      <c r="F34">
        <v>1</v>
      </c>
      <c r="G34">
        <v>6</v>
      </c>
      <c r="H34">
        <v>0</v>
      </c>
      <c r="I34">
        <v>0</v>
      </c>
    </row>
    <row r="35" spans="1:9" x14ac:dyDescent="0.25">
      <c r="A35">
        <v>33</v>
      </c>
      <c r="B35">
        <v>40</v>
      </c>
      <c r="C35">
        <v>32</v>
      </c>
      <c r="D35">
        <v>9</v>
      </c>
      <c r="E35">
        <v>1</v>
      </c>
      <c r="F35">
        <v>1</v>
      </c>
      <c r="G35">
        <v>13</v>
      </c>
      <c r="H35">
        <v>0</v>
      </c>
      <c r="I35">
        <v>0</v>
      </c>
    </row>
    <row r="36" spans="1:9" x14ac:dyDescent="0.25">
      <c r="A36">
        <v>34</v>
      </c>
      <c r="B36">
        <v>16</v>
      </c>
      <c r="C36">
        <v>40</v>
      </c>
      <c r="D36">
        <v>17</v>
      </c>
      <c r="E36">
        <v>1</v>
      </c>
      <c r="F36">
        <v>0</v>
      </c>
      <c r="G36">
        <v>8</v>
      </c>
      <c r="H36">
        <v>1</v>
      </c>
      <c r="I36">
        <v>0</v>
      </c>
    </row>
    <row r="37" spans="1:9" x14ac:dyDescent="0.25">
      <c r="A37">
        <v>35</v>
      </c>
      <c r="B37">
        <v>34</v>
      </c>
      <c r="C37">
        <v>23</v>
      </c>
      <c r="D37">
        <v>12</v>
      </c>
      <c r="E37">
        <v>1</v>
      </c>
      <c r="F37">
        <v>1</v>
      </c>
      <c r="G37">
        <v>1</v>
      </c>
      <c r="H37">
        <v>0</v>
      </c>
      <c r="I37">
        <v>0</v>
      </c>
    </row>
    <row r="38" spans="1:9" x14ac:dyDescent="0.25">
      <c r="A38">
        <v>36</v>
      </c>
      <c r="B38">
        <v>4</v>
      </c>
      <c r="C38">
        <v>36</v>
      </c>
      <c r="D38">
        <v>16</v>
      </c>
      <c r="E38">
        <v>0</v>
      </c>
      <c r="F38">
        <v>1</v>
      </c>
      <c r="G38">
        <v>8</v>
      </c>
      <c r="H38">
        <v>0</v>
      </c>
      <c r="I38">
        <v>1</v>
      </c>
    </row>
    <row r="39" spans="1:9" x14ac:dyDescent="0.25">
      <c r="A39">
        <v>37</v>
      </c>
      <c r="B39">
        <v>55</v>
      </c>
      <c r="C39">
        <v>33</v>
      </c>
      <c r="D39">
        <v>12</v>
      </c>
      <c r="E39">
        <v>1</v>
      </c>
      <c r="F39">
        <v>0</v>
      </c>
      <c r="G39">
        <v>10</v>
      </c>
      <c r="H39">
        <v>0</v>
      </c>
      <c r="I39">
        <v>1</v>
      </c>
    </row>
    <row r="40" spans="1:9" x14ac:dyDescent="0.25">
      <c r="A40">
        <v>38</v>
      </c>
      <c r="B40">
        <v>39</v>
      </c>
      <c r="C40">
        <v>32</v>
      </c>
      <c r="D40">
        <v>16</v>
      </c>
      <c r="E40">
        <v>0</v>
      </c>
      <c r="F40">
        <v>1</v>
      </c>
      <c r="G40">
        <v>11</v>
      </c>
      <c r="H40">
        <v>0</v>
      </c>
      <c r="I40">
        <v>0</v>
      </c>
    </row>
    <row r="41" spans="1:9" x14ac:dyDescent="0.25">
      <c r="A41">
        <v>39</v>
      </c>
      <c r="B41">
        <v>80</v>
      </c>
      <c r="C41">
        <v>62</v>
      </c>
      <c r="D41">
        <v>15</v>
      </c>
      <c r="E41">
        <v>1</v>
      </c>
      <c r="F41">
        <v>0</v>
      </c>
      <c r="G41">
        <v>16</v>
      </c>
      <c r="H41">
        <v>0</v>
      </c>
      <c r="I41">
        <v>1</v>
      </c>
    </row>
    <row r="42" spans="1:9" x14ac:dyDescent="0.25">
      <c r="A42">
        <v>40</v>
      </c>
      <c r="B42">
        <v>19</v>
      </c>
      <c r="C42">
        <v>29</v>
      </c>
      <c r="D42">
        <v>14</v>
      </c>
      <c r="E42">
        <v>1</v>
      </c>
      <c r="F42">
        <v>1</v>
      </c>
      <c r="G42">
        <v>12</v>
      </c>
      <c r="H42">
        <v>0</v>
      </c>
      <c r="I42">
        <v>0</v>
      </c>
    </row>
    <row r="43" spans="1:9" x14ac:dyDescent="0.25">
      <c r="A43">
        <v>41</v>
      </c>
      <c r="B43">
        <v>98</v>
      </c>
      <c r="C43">
        <v>45</v>
      </c>
      <c r="D43">
        <v>12</v>
      </c>
      <c r="E43">
        <v>1</v>
      </c>
      <c r="F43">
        <v>0</v>
      </c>
      <c r="G43">
        <v>17</v>
      </c>
      <c r="H43">
        <v>0</v>
      </c>
      <c r="I43">
        <v>0</v>
      </c>
    </row>
    <row r="44" spans="1:9" x14ac:dyDescent="0.25">
      <c r="A44">
        <v>42</v>
      </c>
      <c r="B44">
        <v>30</v>
      </c>
      <c r="C44">
        <v>38</v>
      </c>
      <c r="D44">
        <v>15</v>
      </c>
      <c r="E44">
        <v>0</v>
      </c>
      <c r="F44">
        <v>1</v>
      </c>
      <c r="G44">
        <v>6</v>
      </c>
      <c r="H44">
        <v>0</v>
      </c>
      <c r="I44">
        <v>1</v>
      </c>
    </row>
    <row r="45" spans="1:9" x14ac:dyDescent="0.25">
      <c r="A45">
        <v>43</v>
      </c>
      <c r="B45">
        <v>22</v>
      </c>
      <c r="C45">
        <v>40</v>
      </c>
      <c r="D45">
        <v>8</v>
      </c>
      <c r="E45">
        <v>1</v>
      </c>
      <c r="F45">
        <v>1</v>
      </c>
      <c r="G45">
        <v>16</v>
      </c>
      <c r="H45">
        <v>0</v>
      </c>
      <c r="I45">
        <v>1</v>
      </c>
    </row>
    <row r="46" spans="1:9" x14ac:dyDescent="0.25">
      <c r="A46">
        <v>44</v>
      </c>
      <c r="B46">
        <v>57</v>
      </c>
      <c r="C46">
        <v>42</v>
      </c>
      <c r="D46">
        <v>13</v>
      </c>
      <c r="E46">
        <v>1</v>
      </c>
      <c r="F46">
        <v>0</v>
      </c>
      <c r="G46">
        <v>2</v>
      </c>
      <c r="H46">
        <v>1</v>
      </c>
      <c r="I46">
        <v>0</v>
      </c>
    </row>
    <row r="47" spans="1:9" x14ac:dyDescent="0.25">
      <c r="A47">
        <v>45</v>
      </c>
      <c r="B47">
        <v>64</v>
      </c>
      <c r="C47">
        <v>45</v>
      </c>
      <c r="D47">
        <v>16</v>
      </c>
      <c r="E47">
        <v>1</v>
      </c>
      <c r="F47">
        <v>1</v>
      </c>
      <c r="G47">
        <v>22</v>
      </c>
      <c r="H47">
        <v>0</v>
      </c>
      <c r="I47">
        <v>0</v>
      </c>
    </row>
    <row r="48" spans="1:9" x14ac:dyDescent="0.25">
      <c r="A48">
        <v>46</v>
      </c>
      <c r="B48">
        <v>22</v>
      </c>
      <c r="C48">
        <v>39</v>
      </c>
      <c r="D48">
        <v>11</v>
      </c>
      <c r="E48">
        <v>1</v>
      </c>
      <c r="F48">
        <v>1</v>
      </c>
      <c r="G48">
        <v>4</v>
      </c>
      <c r="H48">
        <v>0</v>
      </c>
      <c r="I48">
        <v>0</v>
      </c>
    </row>
    <row r="49" spans="1:9" x14ac:dyDescent="0.25">
      <c r="A49">
        <v>47</v>
      </c>
      <c r="B49">
        <v>27</v>
      </c>
      <c r="C49">
        <v>27</v>
      </c>
      <c r="D49">
        <v>15</v>
      </c>
      <c r="E49">
        <v>1</v>
      </c>
      <c r="F49">
        <v>0</v>
      </c>
      <c r="G49">
        <v>10</v>
      </c>
      <c r="H49">
        <v>0</v>
      </c>
      <c r="I49">
        <v>1</v>
      </c>
    </row>
    <row r="50" spans="1:9" x14ac:dyDescent="0.25">
      <c r="A50">
        <v>48</v>
      </c>
      <c r="B50">
        <v>20</v>
      </c>
      <c r="C50">
        <v>42</v>
      </c>
      <c r="D50">
        <v>14</v>
      </c>
      <c r="E50">
        <v>1</v>
      </c>
      <c r="F50">
        <v>1</v>
      </c>
      <c r="G50">
        <v>6</v>
      </c>
      <c r="H50">
        <v>1</v>
      </c>
      <c r="I50">
        <v>0</v>
      </c>
    </row>
    <row r="51" spans="1:9" x14ac:dyDescent="0.25">
      <c r="A51">
        <v>49</v>
      </c>
      <c r="B51">
        <v>30</v>
      </c>
      <c r="C51">
        <v>31</v>
      </c>
      <c r="D51">
        <v>10</v>
      </c>
      <c r="E51">
        <v>1</v>
      </c>
      <c r="F51">
        <v>1</v>
      </c>
      <c r="G51">
        <v>8</v>
      </c>
      <c r="H51">
        <v>0</v>
      </c>
      <c r="I51">
        <v>0</v>
      </c>
    </row>
    <row r="52" spans="1:9" x14ac:dyDescent="0.25">
      <c r="A52">
        <v>50</v>
      </c>
      <c r="B52">
        <v>23</v>
      </c>
      <c r="C52">
        <v>33</v>
      </c>
      <c r="D52">
        <v>13</v>
      </c>
      <c r="E52">
        <v>1</v>
      </c>
      <c r="F52">
        <v>1</v>
      </c>
      <c r="G52">
        <v>8</v>
      </c>
      <c r="H52">
        <v>0</v>
      </c>
      <c r="I5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Originales</vt:lpstr>
      <vt:lpstr>Modificados</vt:lpstr>
      <vt:lpstr>Hoja3</vt:lpstr>
      <vt:lpstr>Hoja2</vt:lpstr>
      <vt:lpstr>Hoja4</vt:lpstr>
      <vt:lpstr>Hoja6</vt:lpstr>
      <vt:lpstr>Hoja7</vt:lpstr>
      <vt:lpstr>Modificados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Patricia González Lozano</dc:creator>
  <cp:lastModifiedBy>Jesus Abel Vera</cp:lastModifiedBy>
  <dcterms:created xsi:type="dcterms:W3CDTF">2023-12-08T17:41:14Z</dcterms:created>
  <dcterms:modified xsi:type="dcterms:W3CDTF">2026-09-24T06:18:50Z</dcterms:modified>
</cp:coreProperties>
</file>